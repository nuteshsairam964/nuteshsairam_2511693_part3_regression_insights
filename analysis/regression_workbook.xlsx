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humna\Downloads\Part_3 Regression insights\analysis\"/>
    </mc:Choice>
  </mc:AlternateContent>
  <xr:revisionPtr revIDLastSave="0" documentId="13_ncr:1_{E8EBDC3E-1C9F-48CA-BDD1-A44A07F377A5}" xr6:coauthVersionLast="47" xr6:coauthVersionMax="47" xr10:uidLastSave="{00000000-0000-0000-0000-000000000000}"/>
  <bookViews>
    <workbookView xWindow="-110" yWindow="-110" windowWidth="19420" windowHeight="11500" firstSheet="4" activeTab="5" xr2:uid="{58BDC457-E5BD-4036-B5CF-F0A41767ACF7}"/>
  </bookViews>
  <sheets>
    <sheet name="Data Quality Check" sheetId="2" r:id="rId1"/>
    <sheet name="regression output" sheetId="3" r:id="rId2"/>
    <sheet name="store_performance" sheetId="1" r:id="rId3"/>
    <sheet name="multiple_regression_data" sheetId="4" r:id="rId4"/>
    <sheet name="multiple_regression_output" sheetId="6" r:id="rId5"/>
    <sheet name="residual_analysis" sheetId="8" r:id="rId6"/>
    <sheet name="model_comparison" sheetId="7" r:id="rId7"/>
  </sheets>
  <definedNames>
    <definedName name="_xlnm._FilterDatabase" localSheetId="3" hidden="1">multiple_regression_data!$L$1:$L$321</definedName>
    <definedName name="_xlnm._FilterDatabase" localSheetId="2" hidden="1">store_performance!$A$1:$N$321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P10" i="4"/>
  <c r="M10" i="4"/>
  <c r="R321" i="4"/>
  <c r="Q321" i="4"/>
  <c r="P321" i="4"/>
  <c r="O321" i="4"/>
  <c r="N321" i="4"/>
  <c r="M321" i="4"/>
  <c r="R320" i="4"/>
  <c r="Q320" i="4"/>
  <c r="P320" i="4"/>
  <c r="O320" i="4"/>
  <c r="N320" i="4"/>
  <c r="M320" i="4"/>
  <c r="R319" i="4"/>
  <c r="Q319" i="4"/>
  <c r="P319" i="4"/>
  <c r="O319" i="4"/>
  <c r="N319" i="4"/>
  <c r="M319" i="4"/>
  <c r="R318" i="4"/>
  <c r="Q318" i="4"/>
  <c r="P318" i="4"/>
  <c r="O318" i="4"/>
  <c r="N318" i="4"/>
  <c r="M318" i="4"/>
  <c r="R317" i="4"/>
  <c r="Q317" i="4"/>
  <c r="P317" i="4"/>
  <c r="O317" i="4"/>
  <c r="N317" i="4"/>
  <c r="M317" i="4"/>
  <c r="R316" i="4"/>
  <c r="Q316" i="4"/>
  <c r="P316" i="4"/>
  <c r="O316" i="4"/>
  <c r="N316" i="4"/>
  <c r="M316" i="4"/>
  <c r="R315" i="4"/>
  <c r="Q315" i="4"/>
  <c r="P315" i="4"/>
  <c r="O315" i="4"/>
  <c r="N315" i="4"/>
  <c r="M315" i="4"/>
  <c r="R314" i="4"/>
  <c r="Q314" i="4"/>
  <c r="P314" i="4"/>
  <c r="O314" i="4"/>
  <c r="N314" i="4"/>
  <c r="M314" i="4"/>
  <c r="R313" i="4"/>
  <c r="Q313" i="4"/>
  <c r="P313" i="4"/>
  <c r="O313" i="4"/>
  <c r="N313" i="4"/>
  <c r="M313" i="4"/>
  <c r="R312" i="4"/>
  <c r="Q312" i="4"/>
  <c r="P312" i="4"/>
  <c r="O312" i="4"/>
  <c r="N312" i="4"/>
  <c r="M312" i="4"/>
  <c r="R311" i="4"/>
  <c r="Q311" i="4"/>
  <c r="P311" i="4"/>
  <c r="O311" i="4"/>
  <c r="N311" i="4"/>
  <c r="M311" i="4"/>
  <c r="R310" i="4"/>
  <c r="Q310" i="4"/>
  <c r="P310" i="4"/>
  <c r="O310" i="4"/>
  <c r="N310" i="4"/>
  <c r="M310" i="4"/>
  <c r="R309" i="4"/>
  <c r="Q309" i="4"/>
  <c r="P309" i="4"/>
  <c r="O309" i="4"/>
  <c r="N309" i="4"/>
  <c r="M309" i="4"/>
  <c r="R308" i="4"/>
  <c r="Q308" i="4"/>
  <c r="P308" i="4"/>
  <c r="O308" i="4"/>
  <c r="N308" i="4"/>
  <c r="M308" i="4"/>
  <c r="R307" i="4"/>
  <c r="Q307" i="4"/>
  <c r="P307" i="4"/>
  <c r="O307" i="4"/>
  <c r="N307" i="4"/>
  <c r="M307" i="4"/>
  <c r="R306" i="4"/>
  <c r="Q306" i="4"/>
  <c r="P306" i="4"/>
  <c r="O306" i="4"/>
  <c r="N306" i="4"/>
  <c r="M306" i="4"/>
  <c r="R305" i="4"/>
  <c r="Q305" i="4"/>
  <c r="P305" i="4"/>
  <c r="O305" i="4"/>
  <c r="N305" i="4"/>
  <c r="M305" i="4"/>
  <c r="R304" i="4"/>
  <c r="Q304" i="4"/>
  <c r="P304" i="4"/>
  <c r="O304" i="4"/>
  <c r="N304" i="4"/>
  <c r="M304" i="4"/>
  <c r="R303" i="4"/>
  <c r="Q303" i="4"/>
  <c r="P303" i="4"/>
  <c r="O303" i="4"/>
  <c r="N303" i="4"/>
  <c r="M303" i="4"/>
  <c r="R302" i="4"/>
  <c r="Q302" i="4"/>
  <c r="P302" i="4"/>
  <c r="O302" i="4"/>
  <c r="N302" i="4"/>
  <c r="M302" i="4"/>
  <c r="R301" i="4"/>
  <c r="Q301" i="4"/>
  <c r="P301" i="4"/>
  <c r="O301" i="4"/>
  <c r="N301" i="4"/>
  <c r="M301" i="4"/>
  <c r="R300" i="4"/>
  <c r="Q300" i="4"/>
  <c r="P300" i="4"/>
  <c r="O300" i="4"/>
  <c r="N300" i="4"/>
  <c r="M300" i="4"/>
  <c r="R299" i="4"/>
  <c r="Q299" i="4"/>
  <c r="P299" i="4"/>
  <c r="O299" i="4"/>
  <c r="N299" i="4"/>
  <c r="M299" i="4"/>
  <c r="R298" i="4"/>
  <c r="Q298" i="4"/>
  <c r="P298" i="4"/>
  <c r="O298" i="4"/>
  <c r="N298" i="4"/>
  <c r="M298" i="4"/>
  <c r="R297" i="4"/>
  <c r="Q297" i="4"/>
  <c r="P297" i="4"/>
  <c r="O297" i="4"/>
  <c r="N297" i="4"/>
  <c r="M297" i="4"/>
  <c r="R296" i="4"/>
  <c r="Q296" i="4"/>
  <c r="P296" i="4"/>
  <c r="O296" i="4"/>
  <c r="N296" i="4"/>
  <c r="M296" i="4"/>
  <c r="R295" i="4"/>
  <c r="Q295" i="4"/>
  <c r="P295" i="4"/>
  <c r="O295" i="4"/>
  <c r="N295" i="4"/>
  <c r="M295" i="4"/>
  <c r="R294" i="4"/>
  <c r="Q294" i="4"/>
  <c r="P294" i="4"/>
  <c r="O294" i="4"/>
  <c r="N294" i="4"/>
  <c r="M294" i="4"/>
  <c r="R293" i="4"/>
  <c r="Q293" i="4"/>
  <c r="P293" i="4"/>
  <c r="O293" i="4"/>
  <c r="N293" i="4"/>
  <c r="M293" i="4"/>
  <c r="R292" i="4"/>
  <c r="Q292" i="4"/>
  <c r="P292" i="4"/>
  <c r="O292" i="4"/>
  <c r="N292" i="4"/>
  <c r="M292" i="4"/>
  <c r="R291" i="4"/>
  <c r="Q291" i="4"/>
  <c r="P291" i="4"/>
  <c r="O291" i="4"/>
  <c r="N291" i="4"/>
  <c r="M291" i="4"/>
  <c r="R290" i="4"/>
  <c r="Q290" i="4"/>
  <c r="P290" i="4"/>
  <c r="O290" i="4"/>
  <c r="N290" i="4"/>
  <c r="M290" i="4"/>
  <c r="R289" i="4"/>
  <c r="Q289" i="4"/>
  <c r="P289" i="4"/>
  <c r="O289" i="4"/>
  <c r="N289" i="4"/>
  <c r="M289" i="4"/>
  <c r="R288" i="4"/>
  <c r="Q288" i="4"/>
  <c r="P288" i="4"/>
  <c r="O288" i="4"/>
  <c r="N288" i="4"/>
  <c r="M288" i="4"/>
  <c r="R287" i="4"/>
  <c r="Q287" i="4"/>
  <c r="P287" i="4"/>
  <c r="O287" i="4"/>
  <c r="N287" i="4"/>
  <c r="M287" i="4"/>
  <c r="R286" i="4"/>
  <c r="Q286" i="4"/>
  <c r="P286" i="4"/>
  <c r="O286" i="4"/>
  <c r="N286" i="4"/>
  <c r="M286" i="4"/>
  <c r="R285" i="4"/>
  <c r="Q285" i="4"/>
  <c r="P285" i="4"/>
  <c r="O285" i="4"/>
  <c r="N285" i="4"/>
  <c r="M285" i="4"/>
  <c r="R284" i="4"/>
  <c r="Q284" i="4"/>
  <c r="P284" i="4"/>
  <c r="O284" i="4"/>
  <c r="N284" i="4"/>
  <c r="M284" i="4"/>
  <c r="R283" i="4"/>
  <c r="Q283" i="4"/>
  <c r="P283" i="4"/>
  <c r="O283" i="4"/>
  <c r="N283" i="4"/>
  <c r="M283" i="4"/>
  <c r="R282" i="4"/>
  <c r="Q282" i="4"/>
  <c r="P282" i="4"/>
  <c r="O282" i="4"/>
  <c r="N282" i="4"/>
  <c r="M282" i="4"/>
  <c r="R281" i="4"/>
  <c r="Q281" i="4"/>
  <c r="P281" i="4"/>
  <c r="O281" i="4"/>
  <c r="N281" i="4"/>
  <c r="M281" i="4"/>
  <c r="R280" i="4"/>
  <c r="Q280" i="4"/>
  <c r="P280" i="4"/>
  <c r="O280" i="4"/>
  <c r="N280" i="4"/>
  <c r="M280" i="4"/>
  <c r="R279" i="4"/>
  <c r="Q279" i="4"/>
  <c r="P279" i="4"/>
  <c r="O279" i="4"/>
  <c r="N279" i="4"/>
  <c r="M279" i="4"/>
  <c r="R278" i="4"/>
  <c r="Q278" i="4"/>
  <c r="P278" i="4"/>
  <c r="O278" i="4"/>
  <c r="N278" i="4"/>
  <c r="M278" i="4"/>
  <c r="R277" i="4"/>
  <c r="Q277" i="4"/>
  <c r="P277" i="4"/>
  <c r="O277" i="4"/>
  <c r="N277" i="4"/>
  <c r="M277" i="4"/>
  <c r="R276" i="4"/>
  <c r="Q276" i="4"/>
  <c r="P276" i="4"/>
  <c r="O276" i="4"/>
  <c r="N276" i="4"/>
  <c r="M276" i="4"/>
  <c r="R275" i="4"/>
  <c r="Q275" i="4"/>
  <c r="P275" i="4"/>
  <c r="O275" i="4"/>
  <c r="N275" i="4"/>
  <c r="M275" i="4"/>
  <c r="R274" i="4"/>
  <c r="Q274" i="4"/>
  <c r="P274" i="4"/>
  <c r="O274" i="4"/>
  <c r="N274" i="4"/>
  <c r="M274" i="4"/>
  <c r="R273" i="4"/>
  <c r="Q273" i="4"/>
  <c r="P273" i="4"/>
  <c r="O273" i="4"/>
  <c r="N273" i="4"/>
  <c r="M273" i="4"/>
  <c r="R272" i="4"/>
  <c r="Q272" i="4"/>
  <c r="P272" i="4"/>
  <c r="O272" i="4"/>
  <c r="N272" i="4"/>
  <c r="M272" i="4"/>
  <c r="R271" i="4"/>
  <c r="Q271" i="4"/>
  <c r="P271" i="4"/>
  <c r="O271" i="4"/>
  <c r="N271" i="4"/>
  <c r="M271" i="4"/>
  <c r="R270" i="4"/>
  <c r="Q270" i="4"/>
  <c r="P270" i="4"/>
  <c r="O270" i="4"/>
  <c r="N270" i="4"/>
  <c r="M270" i="4"/>
  <c r="R269" i="4"/>
  <c r="Q269" i="4"/>
  <c r="P269" i="4"/>
  <c r="O269" i="4"/>
  <c r="N269" i="4"/>
  <c r="M269" i="4"/>
  <c r="R268" i="4"/>
  <c r="Q268" i="4"/>
  <c r="P268" i="4"/>
  <c r="O268" i="4"/>
  <c r="N268" i="4"/>
  <c r="M268" i="4"/>
  <c r="R267" i="4"/>
  <c r="Q267" i="4"/>
  <c r="P267" i="4"/>
  <c r="O267" i="4"/>
  <c r="N267" i="4"/>
  <c r="M267" i="4"/>
  <c r="R266" i="4"/>
  <c r="Q266" i="4"/>
  <c r="P266" i="4"/>
  <c r="O266" i="4"/>
  <c r="N266" i="4"/>
  <c r="M266" i="4"/>
  <c r="R265" i="4"/>
  <c r="Q265" i="4"/>
  <c r="P265" i="4"/>
  <c r="O265" i="4"/>
  <c r="N265" i="4"/>
  <c r="M265" i="4"/>
  <c r="R264" i="4"/>
  <c r="Q264" i="4"/>
  <c r="P264" i="4"/>
  <c r="O264" i="4"/>
  <c r="N264" i="4"/>
  <c r="M264" i="4"/>
  <c r="R263" i="4"/>
  <c r="Q263" i="4"/>
  <c r="P263" i="4"/>
  <c r="O263" i="4"/>
  <c r="N263" i="4"/>
  <c r="M263" i="4"/>
  <c r="R262" i="4"/>
  <c r="Q262" i="4"/>
  <c r="P262" i="4"/>
  <c r="O262" i="4"/>
  <c r="N262" i="4"/>
  <c r="M262" i="4"/>
  <c r="R261" i="4"/>
  <c r="Q261" i="4"/>
  <c r="P261" i="4"/>
  <c r="O261" i="4"/>
  <c r="N261" i="4"/>
  <c r="M261" i="4"/>
  <c r="R260" i="4"/>
  <c r="Q260" i="4"/>
  <c r="P260" i="4"/>
  <c r="O260" i="4"/>
  <c r="N260" i="4"/>
  <c r="M260" i="4"/>
  <c r="R259" i="4"/>
  <c r="Q259" i="4"/>
  <c r="P259" i="4"/>
  <c r="O259" i="4"/>
  <c r="N259" i="4"/>
  <c r="M259" i="4"/>
  <c r="R258" i="4"/>
  <c r="Q258" i="4"/>
  <c r="P258" i="4"/>
  <c r="O258" i="4"/>
  <c r="N258" i="4"/>
  <c r="M258" i="4"/>
  <c r="R257" i="4"/>
  <c r="Q257" i="4"/>
  <c r="P257" i="4"/>
  <c r="O257" i="4"/>
  <c r="N257" i="4"/>
  <c r="M257" i="4"/>
  <c r="R256" i="4"/>
  <c r="Q256" i="4"/>
  <c r="P256" i="4"/>
  <c r="O256" i="4"/>
  <c r="N256" i="4"/>
  <c r="M256" i="4"/>
  <c r="R255" i="4"/>
  <c r="Q255" i="4"/>
  <c r="P255" i="4"/>
  <c r="O255" i="4"/>
  <c r="N255" i="4"/>
  <c r="M255" i="4"/>
  <c r="R254" i="4"/>
  <c r="Q254" i="4"/>
  <c r="P254" i="4"/>
  <c r="O254" i="4"/>
  <c r="N254" i="4"/>
  <c r="M254" i="4"/>
  <c r="R253" i="4"/>
  <c r="Q253" i="4"/>
  <c r="P253" i="4"/>
  <c r="O253" i="4"/>
  <c r="N253" i="4"/>
  <c r="M253" i="4"/>
  <c r="R252" i="4"/>
  <c r="Q252" i="4"/>
  <c r="P252" i="4"/>
  <c r="O252" i="4"/>
  <c r="N252" i="4"/>
  <c r="M252" i="4"/>
  <c r="R251" i="4"/>
  <c r="Q251" i="4"/>
  <c r="P251" i="4"/>
  <c r="O251" i="4"/>
  <c r="N251" i="4"/>
  <c r="M251" i="4"/>
  <c r="R250" i="4"/>
  <c r="Q250" i="4"/>
  <c r="P250" i="4"/>
  <c r="O250" i="4"/>
  <c r="N250" i="4"/>
  <c r="M250" i="4"/>
  <c r="R249" i="4"/>
  <c r="Q249" i="4"/>
  <c r="P249" i="4"/>
  <c r="O249" i="4"/>
  <c r="N249" i="4"/>
  <c r="M249" i="4"/>
  <c r="R248" i="4"/>
  <c r="Q248" i="4"/>
  <c r="P248" i="4"/>
  <c r="O248" i="4"/>
  <c r="N248" i="4"/>
  <c r="M248" i="4"/>
  <c r="R247" i="4"/>
  <c r="Q247" i="4"/>
  <c r="P247" i="4"/>
  <c r="O247" i="4"/>
  <c r="N247" i="4"/>
  <c r="M247" i="4"/>
  <c r="R246" i="4"/>
  <c r="Q246" i="4"/>
  <c r="P246" i="4"/>
  <c r="O246" i="4"/>
  <c r="N246" i="4"/>
  <c r="M246" i="4"/>
  <c r="R245" i="4"/>
  <c r="Q245" i="4"/>
  <c r="P245" i="4"/>
  <c r="O245" i="4"/>
  <c r="N245" i="4"/>
  <c r="M245" i="4"/>
  <c r="R244" i="4"/>
  <c r="Q244" i="4"/>
  <c r="P244" i="4"/>
  <c r="O244" i="4"/>
  <c r="N244" i="4"/>
  <c r="M244" i="4"/>
  <c r="R243" i="4"/>
  <c r="Q243" i="4"/>
  <c r="P243" i="4"/>
  <c r="O243" i="4"/>
  <c r="N243" i="4"/>
  <c r="M243" i="4"/>
  <c r="R242" i="4"/>
  <c r="Q242" i="4"/>
  <c r="P242" i="4"/>
  <c r="O242" i="4"/>
  <c r="N242" i="4"/>
  <c r="M242" i="4"/>
  <c r="R241" i="4"/>
  <c r="Q241" i="4"/>
  <c r="P241" i="4"/>
  <c r="O241" i="4"/>
  <c r="N241" i="4"/>
  <c r="M241" i="4"/>
  <c r="R240" i="4"/>
  <c r="Q240" i="4"/>
  <c r="P240" i="4"/>
  <c r="O240" i="4"/>
  <c r="N240" i="4"/>
  <c r="M240" i="4"/>
  <c r="R239" i="4"/>
  <c r="Q239" i="4"/>
  <c r="P239" i="4"/>
  <c r="O239" i="4"/>
  <c r="N239" i="4"/>
  <c r="M239" i="4"/>
  <c r="R238" i="4"/>
  <c r="Q238" i="4"/>
  <c r="P238" i="4"/>
  <c r="O238" i="4"/>
  <c r="N238" i="4"/>
  <c r="M238" i="4"/>
  <c r="R237" i="4"/>
  <c r="Q237" i="4"/>
  <c r="P237" i="4"/>
  <c r="O237" i="4"/>
  <c r="N237" i="4"/>
  <c r="M237" i="4"/>
  <c r="R236" i="4"/>
  <c r="Q236" i="4"/>
  <c r="P236" i="4"/>
  <c r="O236" i="4"/>
  <c r="N236" i="4"/>
  <c r="M236" i="4"/>
  <c r="R235" i="4"/>
  <c r="Q235" i="4"/>
  <c r="P235" i="4"/>
  <c r="O235" i="4"/>
  <c r="N235" i="4"/>
  <c r="M235" i="4"/>
  <c r="R234" i="4"/>
  <c r="Q234" i="4"/>
  <c r="P234" i="4"/>
  <c r="O234" i="4"/>
  <c r="N234" i="4"/>
  <c r="M234" i="4"/>
  <c r="R233" i="4"/>
  <c r="Q233" i="4"/>
  <c r="P233" i="4"/>
  <c r="O233" i="4"/>
  <c r="N233" i="4"/>
  <c r="M233" i="4"/>
  <c r="R232" i="4"/>
  <c r="Q232" i="4"/>
  <c r="P232" i="4"/>
  <c r="O232" i="4"/>
  <c r="N232" i="4"/>
  <c r="M232" i="4"/>
  <c r="R231" i="4"/>
  <c r="Q231" i="4"/>
  <c r="P231" i="4"/>
  <c r="O231" i="4"/>
  <c r="N231" i="4"/>
  <c r="M231" i="4"/>
  <c r="R230" i="4"/>
  <c r="Q230" i="4"/>
  <c r="P230" i="4"/>
  <c r="O230" i="4"/>
  <c r="N230" i="4"/>
  <c r="M230" i="4"/>
  <c r="R229" i="4"/>
  <c r="Q229" i="4"/>
  <c r="P229" i="4"/>
  <c r="O229" i="4"/>
  <c r="N229" i="4"/>
  <c r="M229" i="4"/>
  <c r="R228" i="4"/>
  <c r="Q228" i="4"/>
  <c r="P228" i="4"/>
  <c r="O228" i="4"/>
  <c r="N228" i="4"/>
  <c r="M228" i="4"/>
  <c r="R227" i="4"/>
  <c r="Q227" i="4"/>
  <c r="P227" i="4"/>
  <c r="O227" i="4"/>
  <c r="N227" i="4"/>
  <c r="M227" i="4"/>
  <c r="R226" i="4"/>
  <c r="Q226" i="4"/>
  <c r="P226" i="4"/>
  <c r="O226" i="4"/>
  <c r="N226" i="4"/>
  <c r="M226" i="4"/>
  <c r="R225" i="4"/>
  <c r="Q225" i="4"/>
  <c r="P225" i="4"/>
  <c r="O225" i="4"/>
  <c r="N225" i="4"/>
  <c r="M225" i="4"/>
  <c r="R224" i="4"/>
  <c r="Q224" i="4"/>
  <c r="P224" i="4"/>
  <c r="O224" i="4"/>
  <c r="N224" i="4"/>
  <c r="M224" i="4"/>
  <c r="R223" i="4"/>
  <c r="Q223" i="4"/>
  <c r="P223" i="4"/>
  <c r="O223" i="4"/>
  <c r="N223" i="4"/>
  <c r="M223" i="4"/>
  <c r="R222" i="4"/>
  <c r="Q222" i="4"/>
  <c r="P222" i="4"/>
  <c r="O222" i="4"/>
  <c r="N222" i="4"/>
  <c r="M222" i="4"/>
  <c r="R221" i="4"/>
  <c r="Q221" i="4"/>
  <c r="P221" i="4"/>
  <c r="O221" i="4"/>
  <c r="N221" i="4"/>
  <c r="M221" i="4"/>
  <c r="R220" i="4"/>
  <c r="Q220" i="4"/>
  <c r="P220" i="4"/>
  <c r="O220" i="4"/>
  <c r="N220" i="4"/>
  <c r="M220" i="4"/>
  <c r="R219" i="4"/>
  <c r="Q219" i="4"/>
  <c r="P219" i="4"/>
  <c r="O219" i="4"/>
  <c r="N219" i="4"/>
  <c r="M219" i="4"/>
  <c r="R218" i="4"/>
  <c r="Q218" i="4"/>
  <c r="P218" i="4"/>
  <c r="O218" i="4"/>
  <c r="N218" i="4"/>
  <c r="M218" i="4"/>
  <c r="R217" i="4"/>
  <c r="Q217" i="4"/>
  <c r="P217" i="4"/>
  <c r="O217" i="4"/>
  <c r="N217" i="4"/>
  <c r="M217" i="4"/>
  <c r="R216" i="4"/>
  <c r="Q216" i="4"/>
  <c r="P216" i="4"/>
  <c r="O216" i="4"/>
  <c r="N216" i="4"/>
  <c r="M216" i="4"/>
  <c r="R215" i="4"/>
  <c r="Q215" i="4"/>
  <c r="P215" i="4"/>
  <c r="O215" i="4"/>
  <c r="N215" i="4"/>
  <c r="M215" i="4"/>
  <c r="R214" i="4"/>
  <c r="Q214" i="4"/>
  <c r="P214" i="4"/>
  <c r="O214" i="4"/>
  <c r="N214" i="4"/>
  <c r="M214" i="4"/>
  <c r="R213" i="4"/>
  <c r="Q213" i="4"/>
  <c r="P213" i="4"/>
  <c r="O213" i="4"/>
  <c r="N213" i="4"/>
  <c r="M213" i="4"/>
  <c r="R212" i="4"/>
  <c r="Q212" i="4"/>
  <c r="P212" i="4"/>
  <c r="O212" i="4"/>
  <c r="N212" i="4"/>
  <c r="M212" i="4"/>
  <c r="R211" i="4"/>
  <c r="Q211" i="4"/>
  <c r="P211" i="4"/>
  <c r="O211" i="4"/>
  <c r="N211" i="4"/>
  <c r="M211" i="4"/>
  <c r="R210" i="4"/>
  <c r="Q210" i="4"/>
  <c r="P210" i="4"/>
  <c r="O210" i="4"/>
  <c r="N210" i="4"/>
  <c r="M210" i="4"/>
  <c r="R209" i="4"/>
  <c r="Q209" i="4"/>
  <c r="P209" i="4"/>
  <c r="O209" i="4"/>
  <c r="N209" i="4"/>
  <c r="M209" i="4"/>
  <c r="R208" i="4"/>
  <c r="Q208" i="4"/>
  <c r="P208" i="4"/>
  <c r="O208" i="4"/>
  <c r="N208" i="4"/>
  <c r="M208" i="4"/>
  <c r="R207" i="4"/>
  <c r="Q207" i="4"/>
  <c r="P207" i="4"/>
  <c r="O207" i="4"/>
  <c r="N207" i="4"/>
  <c r="M207" i="4"/>
  <c r="R206" i="4"/>
  <c r="Q206" i="4"/>
  <c r="P206" i="4"/>
  <c r="O206" i="4"/>
  <c r="N206" i="4"/>
  <c r="M206" i="4"/>
  <c r="R205" i="4"/>
  <c r="Q205" i="4"/>
  <c r="P205" i="4"/>
  <c r="O205" i="4"/>
  <c r="N205" i="4"/>
  <c r="M205" i="4"/>
  <c r="R204" i="4"/>
  <c r="Q204" i="4"/>
  <c r="P204" i="4"/>
  <c r="O204" i="4"/>
  <c r="N204" i="4"/>
  <c r="M204" i="4"/>
  <c r="R203" i="4"/>
  <c r="Q203" i="4"/>
  <c r="P203" i="4"/>
  <c r="O203" i="4"/>
  <c r="N203" i="4"/>
  <c r="M203" i="4"/>
  <c r="R202" i="4"/>
  <c r="Q202" i="4"/>
  <c r="P202" i="4"/>
  <c r="O202" i="4"/>
  <c r="N202" i="4"/>
  <c r="M202" i="4"/>
  <c r="R201" i="4"/>
  <c r="Q201" i="4"/>
  <c r="P201" i="4"/>
  <c r="O201" i="4"/>
  <c r="N201" i="4"/>
  <c r="M201" i="4"/>
  <c r="R200" i="4"/>
  <c r="Q200" i="4"/>
  <c r="P200" i="4"/>
  <c r="O200" i="4"/>
  <c r="N200" i="4"/>
  <c r="M200" i="4"/>
  <c r="R199" i="4"/>
  <c r="Q199" i="4"/>
  <c r="P199" i="4"/>
  <c r="O199" i="4"/>
  <c r="N199" i="4"/>
  <c r="M199" i="4"/>
  <c r="R198" i="4"/>
  <c r="Q198" i="4"/>
  <c r="P198" i="4"/>
  <c r="O198" i="4"/>
  <c r="N198" i="4"/>
  <c r="M198" i="4"/>
  <c r="R197" i="4"/>
  <c r="Q197" i="4"/>
  <c r="P197" i="4"/>
  <c r="O197" i="4"/>
  <c r="N197" i="4"/>
  <c r="M197" i="4"/>
  <c r="R196" i="4"/>
  <c r="Q196" i="4"/>
  <c r="P196" i="4"/>
  <c r="O196" i="4"/>
  <c r="N196" i="4"/>
  <c r="M196" i="4"/>
  <c r="R195" i="4"/>
  <c r="Q195" i="4"/>
  <c r="P195" i="4"/>
  <c r="O195" i="4"/>
  <c r="N195" i="4"/>
  <c r="M195" i="4"/>
  <c r="R194" i="4"/>
  <c r="Q194" i="4"/>
  <c r="P194" i="4"/>
  <c r="O194" i="4"/>
  <c r="N194" i="4"/>
  <c r="M194" i="4"/>
  <c r="R193" i="4"/>
  <c r="Q193" i="4"/>
  <c r="P193" i="4"/>
  <c r="O193" i="4"/>
  <c r="N193" i="4"/>
  <c r="M193" i="4"/>
  <c r="R192" i="4"/>
  <c r="Q192" i="4"/>
  <c r="P192" i="4"/>
  <c r="O192" i="4"/>
  <c r="N192" i="4"/>
  <c r="M192" i="4"/>
  <c r="R191" i="4"/>
  <c r="Q191" i="4"/>
  <c r="P191" i="4"/>
  <c r="O191" i="4"/>
  <c r="N191" i="4"/>
  <c r="M191" i="4"/>
  <c r="R190" i="4"/>
  <c r="Q190" i="4"/>
  <c r="P190" i="4"/>
  <c r="O190" i="4"/>
  <c r="N190" i="4"/>
  <c r="M190" i="4"/>
  <c r="R189" i="4"/>
  <c r="Q189" i="4"/>
  <c r="P189" i="4"/>
  <c r="O189" i="4"/>
  <c r="N189" i="4"/>
  <c r="M189" i="4"/>
  <c r="R188" i="4"/>
  <c r="Q188" i="4"/>
  <c r="P188" i="4"/>
  <c r="O188" i="4"/>
  <c r="N188" i="4"/>
  <c r="M188" i="4"/>
  <c r="R187" i="4"/>
  <c r="Q187" i="4"/>
  <c r="P187" i="4"/>
  <c r="O187" i="4"/>
  <c r="N187" i="4"/>
  <c r="M187" i="4"/>
  <c r="R186" i="4"/>
  <c r="Q186" i="4"/>
  <c r="P186" i="4"/>
  <c r="O186" i="4"/>
  <c r="N186" i="4"/>
  <c r="M186" i="4"/>
  <c r="R185" i="4"/>
  <c r="Q185" i="4"/>
  <c r="P185" i="4"/>
  <c r="O185" i="4"/>
  <c r="N185" i="4"/>
  <c r="M185" i="4"/>
  <c r="R184" i="4"/>
  <c r="Q184" i="4"/>
  <c r="P184" i="4"/>
  <c r="O184" i="4"/>
  <c r="N184" i="4"/>
  <c r="M184" i="4"/>
  <c r="R183" i="4"/>
  <c r="Q183" i="4"/>
  <c r="P183" i="4"/>
  <c r="O183" i="4"/>
  <c r="N183" i="4"/>
  <c r="M183" i="4"/>
  <c r="R182" i="4"/>
  <c r="Q182" i="4"/>
  <c r="P182" i="4"/>
  <c r="O182" i="4"/>
  <c r="N182" i="4"/>
  <c r="M182" i="4"/>
  <c r="R181" i="4"/>
  <c r="Q181" i="4"/>
  <c r="P181" i="4"/>
  <c r="O181" i="4"/>
  <c r="N181" i="4"/>
  <c r="M181" i="4"/>
  <c r="R180" i="4"/>
  <c r="Q180" i="4"/>
  <c r="P180" i="4"/>
  <c r="O180" i="4"/>
  <c r="N180" i="4"/>
  <c r="M180" i="4"/>
  <c r="R179" i="4"/>
  <c r="Q179" i="4"/>
  <c r="P179" i="4"/>
  <c r="O179" i="4"/>
  <c r="N179" i="4"/>
  <c r="M179" i="4"/>
  <c r="R178" i="4"/>
  <c r="Q178" i="4"/>
  <c r="P178" i="4"/>
  <c r="O178" i="4"/>
  <c r="N178" i="4"/>
  <c r="M178" i="4"/>
  <c r="R177" i="4"/>
  <c r="Q177" i="4"/>
  <c r="P177" i="4"/>
  <c r="O177" i="4"/>
  <c r="N177" i="4"/>
  <c r="M177" i="4"/>
  <c r="R176" i="4"/>
  <c r="Q176" i="4"/>
  <c r="P176" i="4"/>
  <c r="O176" i="4"/>
  <c r="N176" i="4"/>
  <c r="M176" i="4"/>
  <c r="R175" i="4"/>
  <c r="Q175" i="4"/>
  <c r="P175" i="4"/>
  <c r="O175" i="4"/>
  <c r="N175" i="4"/>
  <c r="M175" i="4"/>
  <c r="R174" i="4"/>
  <c r="Q174" i="4"/>
  <c r="P174" i="4"/>
  <c r="O174" i="4"/>
  <c r="N174" i="4"/>
  <c r="M174" i="4"/>
  <c r="R173" i="4"/>
  <c r="Q173" i="4"/>
  <c r="P173" i="4"/>
  <c r="O173" i="4"/>
  <c r="N173" i="4"/>
  <c r="M173" i="4"/>
  <c r="R172" i="4"/>
  <c r="Q172" i="4"/>
  <c r="P172" i="4"/>
  <c r="O172" i="4"/>
  <c r="N172" i="4"/>
  <c r="M172" i="4"/>
  <c r="R171" i="4"/>
  <c r="Q171" i="4"/>
  <c r="P171" i="4"/>
  <c r="O171" i="4"/>
  <c r="N171" i="4"/>
  <c r="M171" i="4"/>
  <c r="R170" i="4"/>
  <c r="Q170" i="4"/>
  <c r="P170" i="4"/>
  <c r="O170" i="4"/>
  <c r="N170" i="4"/>
  <c r="M170" i="4"/>
  <c r="R169" i="4"/>
  <c r="Q169" i="4"/>
  <c r="P169" i="4"/>
  <c r="O169" i="4"/>
  <c r="N169" i="4"/>
  <c r="M169" i="4"/>
  <c r="R168" i="4"/>
  <c r="Q168" i="4"/>
  <c r="P168" i="4"/>
  <c r="O168" i="4"/>
  <c r="N168" i="4"/>
  <c r="M168" i="4"/>
  <c r="R167" i="4"/>
  <c r="Q167" i="4"/>
  <c r="P167" i="4"/>
  <c r="O167" i="4"/>
  <c r="N167" i="4"/>
  <c r="M167" i="4"/>
  <c r="R166" i="4"/>
  <c r="Q166" i="4"/>
  <c r="P166" i="4"/>
  <c r="O166" i="4"/>
  <c r="N166" i="4"/>
  <c r="M166" i="4"/>
  <c r="R165" i="4"/>
  <c r="Q165" i="4"/>
  <c r="P165" i="4"/>
  <c r="O165" i="4"/>
  <c r="N165" i="4"/>
  <c r="M165" i="4"/>
  <c r="R164" i="4"/>
  <c r="Q164" i="4"/>
  <c r="P164" i="4"/>
  <c r="O164" i="4"/>
  <c r="N164" i="4"/>
  <c r="M164" i="4"/>
  <c r="R163" i="4"/>
  <c r="Q163" i="4"/>
  <c r="P163" i="4"/>
  <c r="O163" i="4"/>
  <c r="N163" i="4"/>
  <c r="M163" i="4"/>
  <c r="R162" i="4"/>
  <c r="Q162" i="4"/>
  <c r="P162" i="4"/>
  <c r="O162" i="4"/>
  <c r="N162" i="4"/>
  <c r="M162" i="4"/>
  <c r="R161" i="4"/>
  <c r="Q161" i="4"/>
  <c r="P161" i="4"/>
  <c r="O161" i="4"/>
  <c r="N161" i="4"/>
  <c r="M161" i="4"/>
  <c r="R160" i="4"/>
  <c r="Q160" i="4"/>
  <c r="P160" i="4"/>
  <c r="O160" i="4"/>
  <c r="N160" i="4"/>
  <c r="M160" i="4"/>
  <c r="R159" i="4"/>
  <c r="Q159" i="4"/>
  <c r="P159" i="4"/>
  <c r="O159" i="4"/>
  <c r="N159" i="4"/>
  <c r="M159" i="4"/>
  <c r="R158" i="4"/>
  <c r="Q158" i="4"/>
  <c r="P158" i="4"/>
  <c r="O158" i="4"/>
  <c r="N158" i="4"/>
  <c r="M158" i="4"/>
  <c r="R157" i="4"/>
  <c r="Q157" i="4"/>
  <c r="P157" i="4"/>
  <c r="O157" i="4"/>
  <c r="N157" i="4"/>
  <c r="M157" i="4"/>
  <c r="R156" i="4"/>
  <c r="Q156" i="4"/>
  <c r="P156" i="4"/>
  <c r="O156" i="4"/>
  <c r="N156" i="4"/>
  <c r="M156" i="4"/>
  <c r="R155" i="4"/>
  <c r="Q155" i="4"/>
  <c r="P155" i="4"/>
  <c r="O155" i="4"/>
  <c r="N155" i="4"/>
  <c r="M155" i="4"/>
  <c r="R154" i="4"/>
  <c r="Q154" i="4"/>
  <c r="P154" i="4"/>
  <c r="O154" i="4"/>
  <c r="N154" i="4"/>
  <c r="M154" i="4"/>
  <c r="R153" i="4"/>
  <c r="Q153" i="4"/>
  <c r="P153" i="4"/>
  <c r="O153" i="4"/>
  <c r="N153" i="4"/>
  <c r="M153" i="4"/>
  <c r="R152" i="4"/>
  <c r="Q152" i="4"/>
  <c r="P152" i="4"/>
  <c r="O152" i="4"/>
  <c r="N152" i="4"/>
  <c r="M152" i="4"/>
  <c r="R151" i="4"/>
  <c r="Q151" i="4"/>
  <c r="P151" i="4"/>
  <c r="O151" i="4"/>
  <c r="N151" i="4"/>
  <c r="M151" i="4"/>
  <c r="R150" i="4"/>
  <c r="Q150" i="4"/>
  <c r="P150" i="4"/>
  <c r="O150" i="4"/>
  <c r="N150" i="4"/>
  <c r="M150" i="4"/>
  <c r="R149" i="4"/>
  <c r="Q149" i="4"/>
  <c r="P149" i="4"/>
  <c r="O149" i="4"/>
  <c r="N149" i="4"/>
  <c r="M149" i="4"/>
  <c r="R148" i="4"/>
  <c r="Q148" i="4"/>
  <c r="P148" i="4"/>
  <c r="O148" i="4"/>
  <c r="N148" i="4"/>
  <c r="M148" i="4"/>
  <c r="R147" i="4"/>
  <c r="Q147" i="4"/>
  <c r="P147" i="4"/>
  <c r="O147" i="4"/>
  <c r="N147" i="4"/>
  <c r="M147" i="4"/>
  <c r="R146" i="4"/>
  <c r="Q146" i="4"/>
  <c r="P146" i="4"/>
  <c r="O146" i="4"/>
  <c r="N146" i="4"/>
  <c r="M146" i="4"/>
  <c r="R145" i="4"/>
  <c r="Q145" i="4"/>
  <c r="P145" i="4"/>
  <c r="O145" i="4"/>
  <c r="N145" i="4"/>
  <c r="M145" i="4"/>
  <c r="R144" i="4"/>
  <c r="Q144" i="4"/>
  <c r="P144" i="4"/>
  <c r="O144" i="4"/>
  <c r="N144" i="4"/>
  <c r="M144" i="4"/>
  <c r="R143" i="4"/>
  <c r="Q143" i="4"/>
  <c r="P143" i="4"/>
  <c r="O143" i="4"/>
  <c r="N143" i="4"/>
  <c r="M143" i="4"/>
  <c r="R142" i="4"/>
  <c r="Q142" i="4"/>
  <c r="P142" i="4"/>
  <c r="O142" i="4"/>
  <c r="N142" i="4"/>
  <c r="M142" i="4"/>
  <c r="R141" i="4"/>
  <c r="Q141" i="4"/>
  <c r="P141" i="4"/>
  <c r="O141" i="4"/>
  <c r="N141" i="4"/>
  <c r="M141" i="4"/>
  <c r="R140" i="4"/>
  <c r="Q140" i="4"/>
  <c r="P140" i="4"/>
  <c r="O140" i="4"/>
  <c r="N140" i="4"/>
  <c r="M140" i="4"/>
  <c r="R139" i="4"/>
  <c r="Q139" i="4"/>
  <c r="P139" i="4"/>
  <c r="O139" i="4"/>
  <c r="N139" i="4"/>
  <c r="M139" i="4"/>
  <c r="R138" i="4"/>
  <c r="Q138" i="4"/>
  <c r="P138" i="4"/>
  <c r="O138" i="4"/>
  <c r="N138" i="4"/>
  <c r="M138" i="4"/>
  <c r="R137" i="4"/>
  <c r="Q137" i="4"/>
  <c r="P137" i="4"/>
  <c r="O137" i="4"/>
  <c r="N137" i="4"/>
  <c r="M137" i="4"/>
  <c r="R136" i="4"/>
  <c r="Q136" i="4"/>
  <c r="P136" i="4"/>
  <c r="O136" i="4"/>
  <c r="N136" i="4"/>
  <c r="M136" i="4"/>
  <c r="R135" i="4"/>
  <c r="Q135" i="4"/>
  <c r="P135" i="4"/>
  <c r="O135" i="4"/>
  <c r="N135" i="4"/>
  <c r="M135" i="4"/>
  <c r="R134" i="4"/>
  <c r="Q134" i="4"/>
  <c r="P134" i="4"/>
  <c r="O134" i="4"/>
  <c r="N134" i="4"/>
  <c r="M134" i="4"/>
  <c r="R133" i="4"/>
  <c r="Q133" i="4"/>
  <c r="P133" i="4"/>
  <c r="O133" i="4"/>
  <c r="N133" i="4"/>
  <c r="M133" i="4"/>
  <c r="R132" i="4"/>
  <c r="Q132" i="4"/>
  <c r="P132" i="4"/>
  <c r="O132" i="4"/>
  <c r="N132" i="4"/>
  <c r="M132" i="4"/>
  <c r="R131" i="4"/>
  <c r="Q131" i="4"/>
  <c r="P131" i="4"/>
  <c r="O131" i="4"/>
  <c r="N131" i="4"/>
  <c r="M131" i="4"/>
  <c r="R130" i="4"/>
  <c r="Q130" i="4"/>
  <c r="P130" i="4"/>
  <c r="O130" i="4"/>
  <c r="N130" i="4"/>
  <c r="M130" i="4"/>
  <c r="R129" i="4"/>
  <c r="Q129" i="4"/>
  <c r="P129" i="4"/>
  <c r="O129" i="4"/>
  <c r="N129" i="4"/>
  <c r="M129" i="4"/>
  <c r="R128" i="4"/>
  <c r="Q128" i="4"/>
  <c r="P128" i="4"/>
  <c r="O128" i="4"/>
  <c r="N128" i="4"/>
  <c r="M128" i="4"/>
  <c r="R127" i="4"/>
  <c r="Q127" i="4"/>
  <c r="P127" i="4"/>
  <c r="O127" i="4"/>
  <c r="N127" i="4"/>
  <c r="M127" i="4"/>
  <c r="R126" i="4"/>
  <c r="Q126" i="4"/>
  <c r="P126" i="4"/>
  <c r="O126" i="4"/>
  <c r="N126" i="4"/>
  <c r="M126" i="4"/>
  <c r="R125" i="4"/>
  <c r="Q125" i="4"/>
  <c r="P125" i="4"/>
  <c r="O125" i="4"/>
  <c r="N125" i="4"/>
  <c r="M125" i="4"/>
  <c r="R124" i="4"/>
  <c r="Q124" i="4"/>
  <c r="P124" i="4"/>
  <c r="O124" i="4"/>
  <c r="N124" i="4"/>
  <c r="M124" i="4"/>
  <c r="R123" i="4"/>
  <c r="Q123" i="4"/>
  <c r="P123" i="4"/>
  <c r="O123" i="4"/>
  <c r="N123" i="4"/>
  <c r="M123" i="4"/>
  <c r="R122" i="4"/>
  <c r="Q122" i="4"/>
  <c r="P122" i="4"/>
  <c r="O122" i="4"/>
  <c r="N122" i="4"/>
  <c r="M122" i="4"/>
  <c r="R121" i="4"/>
  <c r="Q121" i="4"/>
  <c r="P121" i="4"/>
  <c r="O121" i="4"/>
  <c r="N121" i="4"/>
  <c r="M121" i="4"/>
  <c r="R120" i="4"/>
  <c r="Q120" i="4"/>
  <c r="P120" i="4"/>
  <c r="O120" i="4"/>
  <c r="N120" i="4"/>
  <c r="M120" i="4"/>
  <c r="R119" i="4"/>
  <c r="Q119" i="4"/>
  <c r="P119" i="4"/>
  <c r="O119" i="4"/>
  <c r="N119" i="4"/>
  <c r="M119" i="4"/>
  <c r="R118" i="4"/>
  <c r="Q118" i="4"/>
  <c r="P118" i="4"/>
  <c r="O118" i="4"/>
  <c r="N118" i="4"/>
  <c r="M118" i="4"/>
  <c r="R117" i="4"/>
  <c r="Q117" i="4"/>
  <c r="P117" i="4"/>
  <c r="O117" i="4"/>
  <c r="N117" i="4"/>
  <c r="M117" i="4"/>
  <c r="R116" i="4"/>
  <c r="Q116" i="4"/>
  <c r="P116" i="4"/>
  <c r="O116" i="4"/>
  <c r="N116" i="4"/>
  <c r="M116" i="4"/>
  <c r="R115" i="4"/>
  <c r="Q115" i="4"/>
  <c r="P115" i="4"/>
  <c r="O115" i="4"/>
  <c r="N115" i="4"/>
  <c r="M115" i="4"/>
  <c r="R114" i="4"/>
  <c r="Q114" i="4"/>
  <c r="P114" i="4"/>
  <c r="O114" i="4"/>
  <c r="N114" i="4"/>
  <c r="M114" i="4"/>
  <c r="R113" i="4"/>
  <c r="Q113" i="4"/>
  <c r="P113" i="4"/>
  <c r="O113" i="4"/>
  <c r="N113" i="4"/>
  <c r="M113" i="4"/>
  <c r="R112" i="4"/>
  <c r="Q112" i="4"/>
  <c r="P112" i="4"/>
  <c r="O112" i="4"/>
  <c r="N112" i="4"/>
  <c r="M112" i="4"/>
  <c r="R111" i="4"/>
  <c r="Q111" i="4"/>
  <c r="P111" i="4"/>
  <c r="O111" i="4"/>
  <c r="N111" i="4"/>
  <c r="M111" i="4"/>
  <c r="R110" i="4"/>
  <c r="Q110" i="4"/>
  <c r="P110" i="4"/>
  <c r="O110" i="4"/>
  <c r="N110" i="4"/>
  <c r="M110" i="4"/>
  <c r="R109" i="4"/>
  <c r="Q109" i="4"/>
  <c r="P109" i="4"/>
  <c r="O109" i="4"/>
  <c r="N109" i="4"/>
  <c r="M109" i="4"/>
  <c r="R108" i="4"/>
  <c r="Q108" i="4"/>
  <c r="P108" i="4"/>
  <c r="O108" i="4"/>
  <c r="N108" i="4"/>
  <c r="M108" i="4"/>
  <c r="R107" i="4"/>
  <c r="Q107" i="4"/>
  <c r="P107" i="4"/>
  <c r="O107" i="4"/>
  <c r="N107" i="4"/>
  <c r="M107" i="4"/>
  <c r="R106" i="4"/>
  <c r="Q106" i="4"/>
  <c r="P106" i="4"/>
  <c r="O106" i="4"/>
  <c r="N106" i="4"/>
  <c r="M106" i="4"/>
  <c r="R105" i="4"/>
  <c r="Q105" i="4"/>
  <c r="P105" i="4"/>
  <c r="O105" i="4"/>
  <c r="N105" i="4"/>
  <c r="M105" i="4"/>
  <c r="R104" i="4"/>
  <c r="Q104" i="4"/>
  <c r="P104" i="4"/>
  <c r="O104" i="4"/>
  <c r="N104" i="4"/>
  <c r="M104" i="4"/>
  <c r="R103" i="4"/>
  <c r="Q103" i="4"/>
  <c r="P103" i="4"/>
  <c r="O103" i="4"/>
  <c r="N103" i="4"/>
  <c r="M103" i="4"/>
  <c r="R102" i="4"/>
  <c r="Q102" i="4"/>
  <c r="P102" i="4"/>
  <c r="O102" i="4"/>
  <c r="N102" i="4"/>
  <c r="M102" i="4"/>
  <c r="R101" i="4"/>
  <c r="Q101" i="4"/>
  <c r="P101" i="4"/>
  <c r="O101" i="4"/>
  <c r="N101" i="4"/>
  <c r="M101" i="4"/>
  <c r="R100" i="4"/>
  <c r="Q100" i="4"/>
  <c r="P100" i="4"/>
  <c r="O100" i="4"/>
  <c r="N100" i="4"/>
  <c r="M100" i="4"/>
  <c r="R99" i="4"/>
  <c r="Q99" i="4"/>
  <c r="P99" i="4"/>
  <c r="O99" i="4"/>
  <c r="N99" i="4"/>
  <c r="M99" i="4"/>
  <c r="R98" i="4"/>
  <c r="Q98" i="4"/>
  <c r="P98" i="4"/>
  <c r="O98" i="4"/>
  <c r="N98" i="4"/>
  <c r="M98" i="4"/>
  <c r="R97" i="4"/>
  <c r="Q97" i="4"/>
  <c r="P97" i="4"/>
  <c r="O97" i="4"/>
  <c r="N97" i="4"/>
  <c r="M97" i="4"/>
  <c r="R96" i="4"/>
  <c r="Q96" i="4"/>
  <c r="P96" i="4"/>
  <c r="O96" i="4"/>
  <c r="N96" i="4"/>
  <c r="M96" i="4"/>
  <c r="R95" i="4"/>
  <c r="Q95" i="4"/>
  <c r="P95" i="4"/>
  <c r="O95" i="4"/>
  <c r="N95" i="4"/>
  <c r="M95" i="4"/>
  <c r="R94" i="4"/>
  <c r="Q94" i="4"/>
  <c r="P94" i="4"/>
  <c r="O94" i="4"/>
  <c r="N94" i="4"/>
  <c r="M94" i="4"/>
  <c r="R93" i="4"/>
  <c r="Q93" i="4"/>
  <c r="P93" i="4"/>
  <c r="O93" i="4"/>
  <c r="N93" i="4"/>
  <c r="M93" i="4"/>
  <c r="R92" i="4"/>
  <c r="Q92" i="4"/>
  <c r="P92" i="4"/>
  <c r="O92" i="4"/>
  <c r="N92" i="4"/>
  <c r="M92" i="4"/>
  <c r="R91" i="4"/>
  <c r="Q91" i="4"/>
  <c r="P91" i="4"/>
  <c r="O91" i="4"/>
  <c r="N91" i="4"/>
  <c r="M91" i="4"/>
  <c r="R90" i="4"/>
  <c r="Q90" i="4"/>
  <c r="P90" i="4"/>
  <c r="O90" i="4"/>
  <c r="N90" i="4"/>
  <c r="M90" i="4"/>
  <c r="R89" i="4"/>
  <c r="Q89" i="4"/>
  <c r="P89" i="4"/>
  <c r="O89" i="4"/>
  <c r="N89" i="4"/>
  <c r="M89" i="4"/>
  <c r="R88" i="4"/>
  <c r="Q88" i="4"/>
  <c r="P88" i="4"/>
  <c r="O88" i="4"/>
  <c r="N88" i="4"/>
  <c r="M88" i="4"/>
  <c r="R87" i="4"/>
  <c r="Q87" i="4"/>
  <c r="P87" i="4"/>
  <c r="O87" i="4"/>
  <c r="N87" i="4"/>
  <c r="M87" i="4"/>
  <c r="R86" i="4"/>
  <c r="Q86" i="4"/>
  <c r="P86" i="4"/>
  <c r="O86" i="4"/>
  <c r="N86" i="4"/>
  <c r="M86" i="4"/>
  <c r="R85" i="4"/>
  <c r="Q85" i="4"/>
  <c r="P85" i="4"/>
  <c r="O85" i="4"/>
  <c r="N85" i="4"/>
  <c r="M85" i="4"/>
  <c r="R84" i="4"/>
  <c r="Q84" i="4"/>
  <c r="P84" i="4"/>
  <c r="O84" i="4"/>
  <c r="N84" i="4"/>
  <c r="M84" i="4"/>
  <c r="R83" i="4"/>
  <c r="Q83" i="4"/>
  <c r="P83" i="4"/>
  <c r="O83" i="4"/>
  <c r="N83" i="4"/>
  <c r="M83" i="4"/>
  <c r="R82" i="4"/>
  <c r="Q82" i="4"/>
  <c r="P82" i="4"/>
  <c r="O82" i="4"/>
  <c r="N82" i="4"/>
  <c r="M82" i="4"/>
  <c r="R81" i="4"/>
  <c r="Q81" i="4"/>
  <c r="P81" i="4"/>
  <c r="O81" i="4"/>
  <c r="N81" i="4"/>
  <c r="M81" i="4"/>
  <c r="R80" i="4"/>
  <c r="Q80" i="4"/>
  <c r="P80" i="4"/>
  <c r="O80" i="4"/>
  <c r="N80" i="4"/>
  <c r="M80" i="4"/>
  <c r="R79" i="4"/>
  <c r="Q79" i="4"/>
  <c r="P79" i="4"/>
  <c r="O79" i="4"/>
  <c r="N79" i="4"/>
  <c r="M79" i="4"/>
  <c r="R78" i="4"/>
  <c r="Q78" i="4"/>
  <c r="P78" i="4"/>
  <c r="O78" i="4"/>
  <c r="N78" i="4"/>
  <c r="M78" i="4"/>
  <c r="R77" i="4"/>
  <c r="Q77" i="4"/>
  <c r="P77" i="4"/>
  <c r="O77" i="4"/>
  <c r="N77" i="4"/>
  <c r="M77" i="4"/>
  <c r="R76" i="4"/>
  <c r="Q76" i="4"/>
  <c r="P76" i="4"/>
  <c r="O76" i="4"/>
  <c r="N76" i="4"/>
  <c r="M76" i="4"/>
  <c r="R75" i="4"/>
  <c r="Q75" i="4"/>
  <c r="P75" i="4"/>
  <c r="O75" i="4"/>
  <c r="N75" i="4"/>
  <c r="M75" i="4"/>
  <c r="R74" i="4"/>
  <c r="Q74" i="4"/>
  <c r="P74" i="4"/>
  <c r="O74" i="4"/>
  <c r="N74" i="4"/>
  <c r="M74" i="4"/>
  <c r="R73" i="4"/>
  <c r="Q73" i="4"/>
  <c r="P73" i="4"/>
  <c r="O73" i="4"/>
  <c r="N73" i="4"/>
  <c r="M73" i="4"/>
  <c r="R72" i="4"/>
  <c r="Q72" i="4"/>
  <c r="P72" i="4"/>
  <c r="O72" i="4"/>
  <c r="N72" i="4"/>
  <c r="M72" i="4"/>
  <c r="R71" i="4"/>
  <c r="Q71" i="4"/>
  <c r="P71" i="4"/>
  <c r="O71" i="4"/>
  <c r="N71" i="4"/>
  <c r="M71" i="4"/>
  <c r="R70" i="4"/>
  <c r="Q70" i="4"/>
  <c r="P70" i="4"/>
  <c r="O70" i="4"/>
  <c r="N70" i="4"/>
  <c r="M70" i="4"/>
  <c r="R69" i="4"/>
  <c r="Q69" i="4"/>
  <c r="P69" i="4"/>
  <c r="O69" i="4"/>
  <c r="N69" i="4"/>
  <c r="M69" i="4"/>
  <c r="R68" i="4"/>
  <c r="Q68" i="4"/>
  <c r="P68" i="4"/>
  <c r="O68" i="4"/>
  <c r="N68" i="4"/>
  <c r="M68" i="4"/>
  <c r="R67" i="4"/>
  <c r="Q67" i="4"/>
  <c r="P67" i="4"/>
  <c r="O67" i="4"/>
  <c r="N67" i="4"/>
  <c r="M67" i="4"/>
  <c r="R66" i="4"/>
  <c r="Q66" i="4"/>
  <c r="P66" i="4"/>
  <c r="O66" i="4"/>
  <c r="N66" i="4"/>
  <c r="M66" i="4"/>
  <c r="R65" i="4"/>
  <c r="Q65" i="4"/>
  <c r="P65" i="4"/>
  <c r="O65" i="4"/>
  <c r="N65" i="4"/>
  <c r="M65" i="4"/>
  <c r="R64" i="4"/>
  <c r="Q64" i="4"/>
  <c r="P64" i="4"/>
  <c r="O64" i="4"/>
  <c r="N64" i="4"/>
  <c r="M64" i="4"/>
  <c r="R63" i="4"/>
  <c r="Q63" i="4"/>
  <c r="P63" i="4"/>
  <c r="O63" i="4"/>
  <c r="N63" i="4"/>
  <c r="M63" i="4"/>
  <c r="R62" i="4"/>
  <c r="Q62" i="4"/>
  <c r="P62" i="4"/>
  <c r="O62" i="4"/>
  <c r="N62" i="4"/>
  <c r="M62" i="4"/>
  <c r="R61" i="4"/>
  <c r="Q61" i="4"/>
  <c r="P61" i="4"/>
  <c r="O61" i="4"/>
  <c r="N61" i="4"/>
  <c r="M61" i="4"/>
  <c r="R60" i="4"/>
  <c r="Q60" i="4"/>
  <c r="P60" i="4"/>
  <c r="O60" i="4"/>
  <c r="N60" i="4"/>
  <c r="M60" i="4"/>
  <c r="R59" i="4"/>
  <c r="Q59" i="4"/>
  <c r="P59" i="4"/>
  <c r="O59" i="4"/>
  <c r="N59" i="4"/>
  <c r="M59" i="4"/>
  <c r="R58" i="4"/>
  <c r="Q58" i="4"/>
  <c r="P58" i="4"/>
  <c r="O58" i="4"/>
  <c r="N58" i="4"/>
  <c r="M58" i="4"/>
  <c r="R57" i="4"/>
  <c r="Q57" i="4"/>
  <c r="P57" i="4"/>
  <c r="O57" i="4"/>
  <c r="N57" i="4"/>
  <c r="M57" i="4"/>
  <c r="R56" i="4"/>
  <c r="Q56" i="4"/>
  <c r="P56" i="4"/>
  <c r="O56" i="4"/>
  <c r="N56" i="4"/>
  <c r="M56" i="4"/>
  <c r="R55" i="4"/>
  <c r="Q55" i="4"/>
  <c r="P55" i="4"/>
  <c r="O55" i="4"/>
  <c r="N55" i="4"/>
  <c r="M55" i="4"/>
  <c r="R54" i="4"/>
  <c r="Q54" i="4"/>
  <c r="P54" i="4"/>
  <c r="O54" i="4"/>
  <c r="N54" i="4"/>
  <c r="M54" i="4"/>
  <c r="R53" i="4"/>
  <c r="Q53" i="4"/>
  <c r="P53" i="4"/>
  <c r="O53" i="4"/>
  <c r="N53" i="4"/>
  <c r="M53" i="4"/>
  <c r="R52" i="4"/>
  <c r="Q52" i="4"/>
  <c r="P52" i="4"/>
  <c r="O52" i="4"/>
  <c r="N52" i="4"/>
  <c r="M52" i="4"/>
  <c r="R51" i="4"/>
  <c r="Q51" i="4"/>
  <c r="P51" i="4"/>
  <c r="O51" i="4"/>
  <c r="N51" i="4"/>
  <c r="M51" i="4"/>
  <c r="R50" i="4"/>
  <c r="Q50" i="4"/>
  <c r="P50" i="4"/>
  <c r="O50" i="4"/>
  <c r="N50" i="4"/>
  <c r="M50" i="4"/>
  <c r="R49" i="4"/>
  <c r="Q49" i="4"/>
  <c r="P49" i="4"/>
  <c r="O49" i="4"/>
  <c r="N49" i="4"/>
  <c r="M49" i="4"/>
  <c r="R48" i="4"/>
  <c r="Q48" i="4"/>
  <c r="P48" i="4"/>
  <c r="O48" i="4"/>
  <c r="N48" i="4"/>
  <c r="M48" i="4"/>
  <c r="R47" i="4"/>
  <c r="Q47" i="4"/>
  <c r="P47" i="4"/>
  <c r="O47" i="4"/>
  <c r="N47" i="4"/>
  <c r="M47" i="4"/>
  <c r="R46" i="4"/>
  <c r="Q46" i="4"/>
  <c r="P46" i="4"/>
  <c r="O46" i="4"/>
  <c r="N46" i="4"/>
  <c r="M46" i="4"/>
  <c r="R45" i="4"/>
  <c r="Q45" i="4"/>
  <c r="P45" i="4"/>
  <c r="O45" i="4"/>
  <c r="N45" i="4"/>
  <c r="M45" i="4"/>
  <c r="R44" i="4"/>
  <c r="Q44" i="4"/>
  <c r="P44" i="4"/>
  <c r="O44" i="4"/>
  <c r="N44" i="4"/>
  <c r="M44" i="4"/>
  <c r="R43" i="4"/>
  <c r="Q43" i="4"/>
  <c r="P43" i="4"/>
  <c r="O43" i="4"/>
  <c r="N43" i="4"/>
  <c r="M43" i="4"/>
  <c r="R42" i="4"/>
  <c r="Q42" i="4"/>
  <c r="P42" i="4"/>
  <c r="O42" i="4"/>
  <c r="N42" i="4"/>
  <c r="M42" i="4"/>
  <c r="R41" i="4"/>
  <c r="Q41" i="4"/>
  <c r="P41" i="4"/>
  <c r="O41" i="4"/>
  <c r="N41" i="4"/>
  <c r="M41" i="4"/>
  <c r="R40" i="4"/>
  <c r="Q40" i="4"/>
  <c r="P40" i="4"/>
  <c r="O40" i="4"/>
  <c r="N40" i="4"/>
  <c r="M40" i="4"/>
  <c r="R39" i="4"/>
  <c r="Q39" i="4"/>
  <c r="P39" i="4"/>
  <c r="O39" i="4"/>
  <c r="N39" i="4"/>
  <c r="M39" i="4"/>
  <c r="R38" i="4"/>
  <c r="Q38" i="4"/>
  <c r="P38" i="4"/>
  <c r="O38" i="4"/>
  <c r="N38" i="4"/>
  <c r="M38" i="4"/>
  <c r="R37" i="4"/>
  <c r="Q37" i="4"/>
  <c r="P37" i="4"/>
  <c r="O37" i="4"/>
  <c r="N37" i="4"/>
  <c r="M37" i="4"/>
  <c r="R36" i="4"/>
  <c r="Q36" i="4"/>
  <c r="P36" i="4"/>
  <c r="O36" i="4"/>
  <c r="N36" i="4"/>
  <c r="M36" i="4"/>
  <c r="R35" i="4"/>
  <c r="Q35" i="4"/>
  <c r="P35" i="4"/>
  <c r="O35" i="4"/>
  <c r="N35" i="4"/>
  <c r="M35" i="4"/>
  <c r="R34" i="4"/>
  <c r="Q34" i="4"/>
  <c r="P34" i="4"/>
  <c r="O34" i="4"/>
  <c r="N34" i="4"/>
  <c r="M34" i="4"/>
  <c r="R33" i="4"/>
  <c r="Q33" i="4"/>
  <c r="P33" i="4"/>
  <c r="O33" i="4"/>
  <c r="N33" i="4"/>
  <c r="M33" i="4"/>
  <c r="R32" i="4"/>
  <c r="Q32" i="4"/>
  <c r="P32" i="4"/>
  <c r="O32" i="4"/>
  <c r="N32" i="4"/>
  <c r="M32" i="4"/>
  <c r="R31" i="4"/>
  <c r="Q31" i="4"/>
  <c r="P31" i="4"/>
  <c r="O31" i="4"/>
  <c r="N31" i="4"/>
  <c r="M31" i="4"/>
  <c r="R30" i="4"/>
  <c r="Q30" i="4"/>
  <c r="P30" i="4"/>
  <c r="O30" i="4"/>
  <c r="N30" i="4"/>
  <c r="M30" i="4"/>
  <c r="R29" i="4"/>
  <c r="Q29" i="4"/>
  <c r="P29" i="4"/>
  <c r="O29" i="4"/>
  <c r="N29" i="4"/>
  <c r="M29" i="4"/>
  <c r="R28" i="4"/>
  <c r="Q28" i="4"/>
  <c r="P28" i="4"/>
  <c r="O28" i="4"/>
  <c r="N28" i="4"/>
  <c r="M28" i="4"/>
  <c r="R27" i="4"/>
  <c r="Q27" i="4"/>
  <c r="P27" i="4"/>
  <c r="O27" i="4"/>
  <c r="N27" i="4"/>
  <c r="M27" i="4"/>
  <c r="R26" i="4"/>
  <c r="Q26" i="4"/>
  <c r="P26" i="4"/>
  <c r="O26" i="4"/>
  <c r="N26" i="4"/>
  <c r="M26" i="4"/>
  <c r="R25" i="4"/>
  <c r="Q25" i="4"/>
  <c r="P25" i="4"/>
  <c r="O25" i="4"/>
  <c r="N25" i="4"/>
  <c r="M25" i="4"/>
  <c r="R24" i="4"/>
  <c r="Q24" i="4"/>
  <c r="P24" i="4"/>
  <c r="O24" i="4"/>
  <c r="N24" i="4"/>
  <c r="M24" i="4"/>
  <c r="R23" i="4"/>
  <c r="Q23" i="4"/>
  <c r="P23" i="4"/>
  <c r="O23" i="4"/>
  <c r="N23" i="4"/>
  <c r="M23" i="4"/>
  <c r="R22" i="4"/>
  <c r="Q22" i="4"/>
  <c r="P22" i="4"/>
  <c r="O22" i="4"/>
  <c r="N22" i="4"/>
  <c r="M22" i="4"/>
  <c r="R21" i="4"/>
  <c r="Q21" i="4"/>
  <c r="P21" i="4"/>
  <c r="O21" i="4"/>
  <c r="N21" i="4"/>
  <c r="M21" i="4"/>
  <c r="R20" i="4"/>
  <c r="Q20" i="4"/>
  <c r="P20" i="4"/>
  <c r="O20" i="4"/>
  <c r="N20" i="4"/>
  <c r="M20" i="4"/>
  <c r="R19" i="4"/>
  <c r="Q19" i="4"/>
  <c r="P19" i="4"/>
  <c r="O19" i="4"/>
  <c r="N19" i="4"/>
  <c r="M19" i="4"/>
  <c r="R18" i="4"/>
  <c r="Q18" i="4"/>
  <c r="P18" i="4"/>
  <c r="O18" i="4"/>
  <c r="N18" i="4"/>
  <c r="M18" i="4"/>
  <c r="R17" i="4"/>
  <c r="Q17" i="4"/>
  <c r="P17" i="4"/>
  <c r="O17" i="4"/>
  <c r="N17" i="4"/>
  <c r="M17" i="4"/>
  <c r="R16" i="4"/>
  <c r="Q16" i="4"/>
  <c r="P16" i="4"/>
  <c r="O16" i="4"/>
  <c r="N16" i="4"/>
  <c r="M16" i="4"/>
  <c r="R15" i="4"/>
  <c r="Q15" i="4"/>
  <c r="P15" i="4"/>
  <c r="O15" i="4"/>
  <c r="N15" i="4"/>
  <c r="M15" i="4"/>
  <c r="R14" i="4"/>
  <c r="Q14" i="4"/>
  <c r="P14" i="4"/>
  <c r="O14" i="4"/>
  <c r="N14" i="4"/>
  <c r="M14" i="4"/>
  <c r="R13" i="4"/>
  <c r="Q13" i="4"/>
  <c r="P13" i="4"/>
  <c r="O13" i="4"/>
  <c r="N13" i="4"/>
  <c r="M13" i="4"/>
  <c r="R12" i="4"/>
  <c r="Q12" i="4"/>
  <c r="P12" i="4"/>
  <c r="O12" i="4"/>
  <c r="N12" i="4"/>
  <c r="M12" i="4"/>
  <c r="R11" i="4"/>
  <c r="Q11" i="4"/>
  <c r="P11" i="4"/>
  <c r="O11" i="4"/>
  <c r="N11" i="4"/>
  <c r="M11" i="4"/>
  <c r="R10" i="4"/>
  <c r="Q10" i="4"/>
  <c r="O10" i="4"/>
  <c r="N10" i="4"/>
  <c r="R9" i="4"/>
  <c r="Q9" i="4"/>
  <c r="P9" i="4"/>
  <c r="O9" i="4"/>
  <c r="N9" i="4"/>
  <c r="M9" i="4"/>
  <c r="R8" i="4"/>
  <c r="P8" i="4"/>
  <c r="O8" i="4"/>
  <c r="N8" i="4"/>
  <c r="M8" i="4"/>
  <c r="R7" i="4"/>
  <c r="Q7" i="4"/>
  <c r="P7" i="4"/>
  <c r="O7" i="4"/>
  <c r="N7" i="4"/>
  <c r="M7" i="4"/>
  <c r="R6" i="4"/>
  <c r="Q6" i="4"/>
  <c r="P6" i="4"/>
  <c r="O6" i="4"/>
  <c r="N6" i="4"/>
  <c r="M6" i="4"/>
  <c r="R5" i="4"/>
  <c r="Q5" i="4"/>
  <c r="P5" i="4"/>
  <c r="O5" i="4"/>
  <c r="N5" i="4"/>
  <c r="M5" i="4"/>
  <c r="R4" i="4"/>
  <c r="Q4" i="4"/>
  <c r="P4" i="4"/>
  <c r="O4" i="4"/>
  <c r="N4" i="4"/>
  <c r="M4" i="4"/>
  <c r="R3" i="4"/>
  <c r="Q3" i="4"/>
  <c r="P3" i="4"/>
  <c r="O3" i="4"/>
  <c r="N3" i="4"/>
  <c r="M3" i="4"/>
  <c r="R2" i="4"/>
  <c r="Q2" i="4"/>
  <c r="P2" i="4"/>
  <c r="O2" i="4"/>
  <c r="N2" i="4"/>
  <c r="M2" i="4"/>
  <c r="O2" i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T2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O317" i="1"/>
  <c r="O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19" i="1"/>
  <c r="P20" i="1"/>
  <c r="P21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8" i="1"/>
  <c r="O319" i="1"/>
  <c r="O320" i="1"/>
  <c r="O32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O5" i="1"/>
  <c r="O6" i="1"/>
  <c r="O7" i="1"/>
  <c r="O8" i="1"/>
  <c r="O9" i="1"/>
  <c r="O10" i="1"/>
  <c r="O11" i="1"/>
</calcChain>
</file>

<file path=xl/sharedStrings.xml><?xml version="1.0" encoding="utf-8"?>
<sst xmlns="http://schemas.openxmlformats.org/spreadsheetml/2006/main" count="1757" uniqueCount="172">
  <si>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</si>
  <si>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</si>
  <si>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</si>
  <si>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</si>
  <si>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</si>
  <si>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</si>
  <si>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</si>
  <si>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</si>
  <si>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</si>
  <si>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</si>
  <si>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</si>
  <si>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</si>
  <si>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</si>
  <si>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</si>
  <si>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</si>
  <si>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</si>
  <si>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</si>
  <si>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</si>
  <si>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</si>
  <si>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</si>
  <si>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</si>
  <si>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</si>
  <si>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</si>
  <si>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</si>
  <si>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</si>
  <si>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</si>
  <si>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</si>
  <si>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</si>
  <si>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</si>
  <si>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</si>
  <si>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</si>
  <si>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</si>
  <si>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</si>
  <si>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</si>
  <si>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</si>
  <si>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</si>
  <si>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</si>
  <si>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</si>
  <si>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</si>
  <si>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</si>
  <si>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</si>
  <si>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</si>
  <si>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</si>
  <si>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</si>
  <si>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</si>
  <si>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</si>
  <si>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</si>
  <si>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</si>
  <si>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</si>
  <si>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</si>
  <si>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</si>
  <si>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</si>
  <si>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</si>
  <si>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</si>
  <si>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</si>
  <si>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</si>
  <si>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</si>
  <si>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</si>
  <si>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</si>
  <si>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</si>
  <si>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</si>
  <si>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</si>
  <si>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</si>
  <si>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</si>
  <si>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</si>
  <si>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</si>
  <si>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</si>
  <si>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</si>
  <si>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</si>
  <si>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</si>
  <si>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</si>
  <si>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</si>
  <si>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</si>
  <si>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</si>
  <si>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</si>
  <si>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</si>
  <si>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</si>
  <si>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</si>
  <si>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</si>
  <si>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</si>
  <si>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</si>
  <si>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</si>
  <si>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</si>
  <si>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</si>
  <si>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</si>
  <si>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</si>
  <si>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</si>
  <si>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</si>
  <si>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</si>
  <si>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</si>
  <si>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</si>
  <si>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</si>
  <si>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</si>
  <si>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</si>
  <si>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</si>
  <si>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</si>
  <si>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</si>
  <si>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</si>
  <si>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</si>
  <si>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</si>
  <si>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</si>
  <si>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</si>
  <si>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Check</t>
  </si>
  <si>
    <t>Result</t>
  </si>
  <si>
    <t>Notes</t>
  </si>
  <si>
    <t>Total Records</t>
  </si>
  <si>
    <t>Total Variables</t>
  </si>
  <si>
    <t>Missing Values</t>
  </si>
  <si>
    <t>Duplicate Records</t>
  </si>
  <si>
    <t>Numerical Variables</t>
  </si>
  <si>
    <t>Categorical Variables</t>
  </si>
  <si>
    <t>Binary Variables</t>
  </si>
  <si>
    <t>region, store_type</t>
  </si>
  <si>
    <t>Dataset contains 320 observations</t>
  </si>
  <si>
    <t>14 variables</t>
  </si>
  <si>
    <r>
      <t xml:space="preserve">6 in </t>
    </r>
    <r>
      <rPr>
        <sz val="10"/>
        <color theme="1"/>
        <rFont val="Arial Unicode MS"/>
      </rPr>
      <t>competitor_distance_km</t>
    </r>
    <r>
      <rPr>
        <sz val="11"/>
        <color theme="1"/>
        <rFont val="Aptos Narrow"/>
        <family val="2"/>
        <scheme val="minor"/>
      </rPr>
      <t xml:space="preserve">, 8 in </t>
    </r>
    <r>
      <rPr>
        <sz val="10"/>
        <color theme="1"/>
        <rFont val="Arial Unicode MS"/>
      </rPr>
      <t>customer_rating</t>
    </r>
    <r>
      <rPr>
        <sz val="11"/>
        <color theme="1"/>
        <rFont val="Aptos Narrow"/>
        <family val="2"/>
        <scheme val="minor"/>
      </rPr>
      <t>; filled using column mean</t>
    </r>
  </si>
  <si>
    <t>No duplicate rows found</t>
  </si>
  <si>
    <t>Correct</t>
  </si>
  <si>
    <r>
      <t>region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store_type</t>
    </r>
  </si>
  <si>
    <t>Requiring Dummy Encoding</t>
  </si>
  <si>
    <t>Required for multiple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</si>
  <si>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</si>
  <si>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</si>
  <si>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</si>
  <si>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</si>
  <si>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</si>
  <si>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</si>
  <si>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</si>
  <si>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</si>
  <si>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</si>
  <si>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</si>
  <si>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</si>
  <si>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</si>
  <si>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</si>
  <si>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</si>
  <si>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</si>
  <si>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</si>
  <si>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</si>
  <si>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</si>
  <si>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</si>
  <si>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</si>
  <si>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</si>
  <si>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</si>
  <si>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</si>
  <si>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</si>
  <si>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</si>
  <si>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</si>
  <si>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658832.62</t>
  </si>
  <si>
    <t>Residuals</t>
  </si>
  <si>
    <t>region_north</t>
  </si>
  <si>
    <t>region_south</t>
  </si>
  <si>
    <t>region_west</t>
  </si>
  <si>
    <t>store_airport</t>
  </si>
  <si>
    <t>store_highstreet</t>
  </si>
  <si>
    <t>store_mall</t>
  </si>
  <si>
    <t>Predicted monthly_sales</t>
  </si>
  <si>
    <t>(footfall)8302</t>
  </si>
  <si>
    <t>Metric</t>
  </si>
  <si>
    <t>Simple Regression</t>
  </si>
  <si>
    <t>Multiple Regression</t>
  </si>
  <si>
    <t>F Statistic</t>
  </si>
  <si>
    <t>Model  Comparison Summary</t>
  </si>
  <si>
    <t>Selected Final Model: Multiple Linear Regression</t>
  </si>
  <si>
    <t>Reason:</t>
  </si>
  <si>
    <t>Multiple regression achieved a higher R² (0.8569) than simple regression (0.7383), indicating better explanatory power.</t>
  </si>
  <si>
    <t>The standard error decreased from 53,249.40 to 40,208.96, improving prediction accuracy.</t>
  </si>
  <si>
    <t>Both models are statistically significant (Significance F &lt; 0.05).</t>
  </si>
  <si>
    <t>The multiple regression model considers several business factors simultaneously,</t>
  </si>
  <si>
    <t>making it more suitable for business decision-making.</t>
  </si>
  <si>
    <t>Residual Analysis</t>
  </si>
  <si>
    <t>Largest Positive Residuals</t>
  </si>
  <si>
    <t>Largest Negative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</si>
</sst>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4" fillId="0" borderId="0" xfId="0" applyNumberFormat="1" applyFont="1"/>
    <xf numFmtId="165" fontId="0" fillId="0" borderId="0" xfId="0" applyNumberFormat="1"/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wrapText="1"/>
    </xf>
    <xf numFmtId="4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8302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store_performance!$F$3:$F$321</c:f>
              <c:numCache>
                <c:formatCode>General</c:formatCode>
                <c:ptCount val="319"/>
                <c:pt idx="0">
                  <c:v>8487</c:v>
                </c:pt>
                <c:pt idx="1">
                  <c:v>9113</c:v>
                </c:pt>
                <c:pt idx="2">
                  <c:v>9431</c:v>
                </c:pt>
                <c:pt idx="3">
                  <c:v>9545</c:v>
                </c:pt>
                <c:pt idx="4">
                  <c:v>9792</c:v>
                </c:pt>
                <c:pt idx="5">
                  <c:v>10616</c:v>
                </c:pt>
                <c:pt idx="6">
                  <c:v>8567</c:v>
                </c:pt>
                <c:pt idx="7">
                  <c:v>10979</c:v>
                </c:pt>
                <c:pt idx="8">
                  <c:v>9459</c:v>
                </c:pt>
                <c:pt idx="9">
                  <c:v>9172</c:v>
                </c:pt>
                <c:pt idx="10">
                  <c:v>11230</c:v>
                </c:pt>
                <c:pt idx="11">
                  <c:v>12775</c:v>
                </c:pt>
                <c:pt idx="12">
                  <c:v>10054</c:v>
                </c:pt>
                <c:pt idx="13">
                  <c:v>8895</c:v>
                </c:pt>
                <c:pt idx="14">
                  <c:v>10940</c:v>
                </c:pt>
                <c:pt idx="15">
                  <c:v>7057</c:v>
                </c:pt>
                <c:pt idx="16">
                  <c:v>4263</c:v>
                </c:pt>
                <c:pt idx="17">
                  <c:v>5538</c:v>
                </c:pt>
                <c:pt idx="18">
                  <c:v>4865</c:v>
                </c:pt>
                <c:pt idx="19">
                  <c:v>2822</c:v>
                </c:pt>
                <c:pt idx="20">
                  <c:v>2121</c:v>
                </c:pt>
                <c:pt idx="21">
                  <c:v>3364</c:v>
                </c:pt>
                <c:pt idx="22">
                  <c:v>2613</c:v>
                </c:pt>
                <c:pt idx="23">
                  <c:v>10218</c:v>
                </c:pt>
                <c:pt idx="24">
                  <c:v>8927</c:v>
                </c:pt>
                <c:pt idx="25">
                  <c:v>9315</c:v>
                </c:pt>
                <c:pt idx="26">
                  <c:v>7223</c:v>
                </c:pt>
                <c:pt idx="27">
                  <c:v>3988</c:v>
                </c:pt>
                <c:pt idx="28">
                  <c:v>2390</c:v>
                </c:pt>
                <c:pt idx="29">
                  <c:v>2471</c:v>
                </c:pt>
                <c:pt idx="30">
                  <c:v>971</c:v>
                </c:pt>
                <c:pt idx="31">
                  <c:v>9429</c:v>
                </c:pt>
                <c:pt idx="32">
                  <c:v>11695</c:v>
                </c:pt>
                <c:pt idx="33">
                  <c:v>9449</c:v>
                </c:pt>
                <c:pt idx="34">
                  <c:v>10453</c:v>
                </c:pt>
                <c:pt idx="35">
                  <c:v>8838</c:v>
                </c:pt>
                <c:pt idx="36">
                  <c:v>8156</c:v>
                </c:pt>
                <c:pt idx="37">
                  <c:v>7562</c:v>
                </c:pt>
                <c:pt idx="38">
                  <c:v>9598</c:v>
                </c:pt>
                <c:pt idx="39">
                  <c:v>3660</c:v>
                </c:pt>
                <c:pt idx="40">
                  <c:v>3227</c:v>
                </c:pt>
                <c:pt idx="41">
                  <c:v>3360</c:v>
                </c:pt>
                <c:pt idx="42">
                  <c:v>3642</c:v>
                </c:pt>
                <c:pt idx="43">
                  <c:v>5145</c:v>
                </c:pt>
                <c:pt idx="44">
                  <c:v>4460</c:v>
                </c:pt>
                <c:pt idx="45">
                  <c:v>3804</c:v>
                </c:pt>
                <c:pt idx="46">
                  <c:v>4074</c:v>
                </c:pt>
                <c:pt idx="47">
                  <c:v>5104</c:v>
                </c:pt>
                <c:pt idx="48">
                  <c:v>5559</c:v>
                </c:pt>
                <c:pt idx="49">
                  <c:v>5150</c:v>
                </c:pt>
                <c:pt idx="50">
                  <c:v>7189</c:v>
                </c:pt>
                <c:pt idx="51">
                  <c:v>3279</c:v>
                </c:pt>
                <c:pt idx="52">
                  <c:v>5887</c:v>
                </c:pt>
                <c:pt idx="53">
                  <c:v>5516</c:v>
                </c:pt>
                <c:pt idx="54">
                  <c:v>2863</c:v>
                </c:pt>
                <c:pt idx="55">
                  <c:v>2378</c:v>
                </c:pt>
                <c:pt idx="56">
                  <c:v>2515</c:v>
                </c:pt>
                <c:pt idx="57">
                  <c:v>4022</c:v>
                </c:pt>
                <c:pt idx="58">
                  <c:v>4377</c:v>
                </c:pt>
                <c:pt idx="59">
                  <c:v>5306</c:v>
                </c:pt>
                <c:pt idx="60">
                  <c:v>3928</c:v>
                </c:pt>
                <c:pt idx="61">
                  <c:v>3845</c:v>
                </c:pt>
                <c:pt idx="62">
                  <c:v>6620</c:v>
                </c:pt>
                <c:pt idx="63">
                  <c:v>9175</c:v>
                </c:pt>
                <c:pt idx="64">
                  <c:v>7940</c:v>
                </c:pt>
                <c:pt idx="65">
                  <c:v>9628</c:v>
                </c:pt>
                <c:pt idx="66">
                  <c:v>8296</c:v>
                </c:pt>
                <c:pt idx="67">
                  <c:v>3595</c:v>
                </c:pt>
                <c:pt idx="68">
                  <c:v>2834</c:v>
                </c:pt>
                <c:pt idx="69">
                  <c:v>3193</c:v>
                </c:pt>
                <c:pt idx="70">
                  <c:v>5485</c:v>
                </c:pt>
                <c:pt idx="71">
                  <c:v>5918</c:v>
                </c:pt>
                <c:pt idx="72">
                  <c:v>6821</c:v>
                </c:pt>
                <c:pt idx="73">
                  <c:v>6806</c:v>
                </c:pt>
                <c:pt idx="74">
                  <c:v>8252</c:v>
                </c:pt>
                <c:pt idx="75">
                  <c:v>6662</c:v>
                </c:pt>
                <c:pt idx="76">
                  <c:v>5962</c:v>
                </c:pt>
                <c:pt idx="77">
                  <c:v>7470</c:v>
                </c:pt>
                <c:pt idx="78">
                  <c:v>5974</c:v>
                </c:pt>
                <c:pt idx="79">
                  <c:v>5410</c:v>
                </c:pt>
                <c:pt idx="80">
                  <c:v>4451</c:v>
                </c:pt>
                <c:pt idx="81">
                  <c:v>4644</c:v>
                </c:pt>
                <c:pt idx="82">
                  <c:v>3559</c:v>
                </c:pt>
                <c:pt idx="83">
                  <c:v>3091</c:v>
                </c:pt>
                <c:pt idx="84">
                  <c:v>4004</c:v>
                </c:pt>
                <c:pt idx="85">
                  <c:v>3788</c:v>
                </c:pt>
                <c:pt idx="86">
                  <c:v>1260</c:v>
                </c:pt>
                <c:pt idx="87">
                  <c:v>7024</c:v>
                </c:pt>
                <c:pt idx="88">
                  <c:v>5400</c:v>
                </c:pt>
                <c:pt idx="89">
                  <c:v>5988</c:v>
                </c:pt>
                <c:pt idx="90">
                  <c:v>3701</c:v>
                </c:pt>
                <c:pt idx="91">
                  <c:v>4509</c:v>
                </c:pt>
                <c:pt idx="92">
                  <c:v>6477</c:v>
                </c:pt>
                <c:pt idx="93">
                  <c:v>7970</c:v>
                </c:pt>
                <c:pt idx="94">
                  <c:v>6057</c:v>
                </c:pt>
                <c:pt idx="95">
                  <c:v>6394</c:v>
                </c:pt>
                <c:pt idx="96">
                  <c:v>5150</c:v>
                </c:pt>
                <c:pt idx="97">
                  <c:v>4712</c:v>
                </c:pt>
                <c:pt idx="98">
                  <c:v>5281</c:v>
                </c:pt>
                <c:pt idx="99">
                  <c:v>3642</c:v>
                </c:pt>
                <c:pt idx="100">
                  <c:v>4373</c:v>
                </c:pt>
                <c:pt idx="101">
                  <c:v>6832</c:v>
                </c:pt>
                <c:pt idx="102">
                  <c:v>2414</c:v>
                </c:pt>
                <c:pt idx="103">
                  <c:v>7374</c:v>
                </c:pt>
                <c:pt idx="104">
                  <c:v>8739</c:v>
                </c:pt>
                <c:pt idx="105">
                  <c:v>6992</c:v>
                </c:pt>
                <c:pt idx="106">
                  <c:v>7107</c:v>
                </c:pt>
                <c:pt idx="107">
                  <c:v>6975</c:v>
                </c:pt>
                <c:pt idx="108">
                  <c:v>5493</c:v>
                </c:pt>
                <c:pt idx="109">
                  <c:v>5686</c:v>
                </c:pt>
                <c:pt idx="110">
                  <c:v>4063</c:v>
                </c:pt>
                <c:pt idx="111">
                  <c:v>8966</c:v>
                </c:pt>
                <c:pt idx="112">
                  <c:v>9489</c:v>
                </c:pt>
                <c:pt idx="113">
                  <c:v>9225</c:v>
                </c:pt>
                <c:pt idx="114">
                  <c:v>9249</c:v>
                </c:pt>
                <c:pt idx="115">
                  <c:v>7821</c:v>
                </c:pt>
                <c:pt idx="116">
                  <c:v>8434</c:v>
                </c:pt>
                <c:pt idx="117">
                  <c:v>8512</c:v>
                </c:pt>
                <c:pt idx="118">
                  <c:v>7816</c:v>
                </c:pt>
                <c:pt idx="119">
                  <c:v>3853</c:v>
                </c:pt>
                <c:pt idx="120">
                  <c:v>3694</c:v>
                </c:pt>
                <c:pt idx="121">
                  <c:v>4423</c:v>
                </c:pt>
                <c:pt idx="122">
                  <c:v>1906</c:v>
                </c:pt>
                <c:pt idx="123">
                  <c:v>10396</c:v>
                </c:pt>
                <c:pt idx="124">
                  <c:v>11076</c:v>
                </c:pt>
                <c:pt idx="125">
                  <c:v>9574</c:v>
                </c:pt>
                <c:pt idx="126">
                  <c:v>8221</c:v>
                </c:pt>
                <c:pt idx="127">
                  <c:v>10618</c:v>
                </c:pt>
                <c:pt idx="128">
                  <c:v>10596</c:v>
                </c:pt>
                <c:pt idx="129">
                  <c:v>9619</c:v>
                </c:pt>
                <c:pt idx="130">
                  <c:v>10836</c:v>
                </c:pt>
                <c:pt idx="131">
                  <c:v>3043</c:v>
                </c:pt>
                <c:pt idx="132">
                  <c:v>1814</c:v>
                </c:pt>
                <c:pt idx="133">
                  <c:v>3618</c:v>
                </c:pt>
                <c:pt idx="134">
                  <c:v>1963</c:v>
                </c:pt>
                <c:pt idx="135">
                  <c:v>7888</c:v>
                </c:pt>
                <c:pt idx="136">
                  <c:v>6244</c:v>
                </c:pt>
                <c:pt idx="137">
                  <c:v>6544</c:v>
                </c:pt>
                <c:pt idx="138">
                  <c:v>5465</c:v>
                </c:pt>
                <c:pt idx="139">
                  <c:v>6427</c:v>
                </c:pt>
                <c:pt idx="140">
                  <c:v>6704</c:v>
                </c:pt>
                <c:pt idx="141">
                  <c:v>5645</c:v>
                </c:pt>
                <c:pt idx="142">
                  <c:v>6089</c:v>
                </c:pt>
                <c:pt idx="143">
                  <c:v>4312</c:v>
                </c:pt>
                <c:pt idx="144">
                  <c:v>3152</c:v>
                </c:pt>
                <c:pt idx="145">
                  <c:v>4259</c:v>
                </c:pt>
                <c:pt idx="146">
                  <c:v>3350</c:v>
                </c:pt>
                <c:pt idx="147">
                  <c:v>5329</c:v>
                </c:pt>
                <c:pt idx="148">
                  <c:v>6551</c:v>
                </c:pt>
                <c:pt idx="149">
                  <c:v>5550</c:v>
                </c:pt>
                <c:pt idx="150">
                  <c:v>5911</c:v>
                </c:pt>
                <c:pt idx="151">
                  <c:v>9674</c:v>
                </c:pt>
                <c:pt idx="152">
                  <c:v>6740</c:v>
                </c:pt>
                <c:pt idx="153">
                  <c:v>7745</c:v>
                </c:pt>
                <c:pt idx="154">
                  <c:v>7693</c:v>
                </c:pt>
                <c:pt idx="155">
                  <c:v>6424</c:v>
                </c:pt>
                <c:pt idx="156">
                  <c:v>5400</c:v>
                </c:pt>
                <c:pt idx="157">
                  <c:v>7015</c:v>
                </c:pt>
                <c:pt idx="158">
                  <c:v>3847</c:v>
                </c:pt>
                <c:pt idx="159">
                  <c:v>7455</c:v>
                </c:pt>
                <c:pt idx="160">
                  <c:v>6992</c:v>
                </c:pt>
                <c:pt idx="161">
                  <c:v>8038</c:v>
                </c:pt>
                <c:pt idx="162">
                  <c:v>6055</c:v>
                </c:pt>
                <c:pt idx="163">
                  <c:v>9323</c:v>
                </c:pt>
                <c:pt idx="164">
                  <c:v>8789</c:v>
                </c:pt>
                <c:pt idx="165">
                  <c:v>6939</c:v>
                </c:pt>
                <c:pt idx="166">
                  <c:v>9440</c:v>
                </c:pt>
                <c:pt idx="167">
                  <c:v>9374</c:v>
                </c:pt>
                <c:pt idx="168">
                  <c:v>7576</c:v>
                </c:pt>
                <c:pt idx="169">
                  <c:v>8949</c:v>
                </c:pt>
                <c:pt idx="170">
                  <c:v>7671</c:v>
                </c:pt>
                <c:pt idx="171">
                  <c:v>8741</c:v>
                </c:pt>
                <c:pt idx="172">
                  <c:v>9480</c:v>
                </c:pt>
                <c:pt idx="173">
                  <c:v>9826</c:v>
                </c:pt>
                <c:pt idx="174">
                  <c:v>10402</c:v>
                </c:pt>
                <c:pt idx="175">
                  <c:v>12361</c:v>
                </c:pt>
                <c:pt idx="176">
                  <c:v>7925</c:v>
                </c:pt>
                <c:pt idx="177">
                  <c:v>8870</c:v>
                </c:pt>
                <c:pt idx="178">
                  <c:v>9999</c:v>
                </c:pt>
                <c:pt idx="179">
                  <c:v>11154</c:v>
                </c:pt>
                <c:pt idx="180">
                  <c:v>9287</c:v>
                </c:pt>
                <c:pt idx="181">
                  <c:v>9812</c:v>
                </c:pt>
                <c:pt idx="182">
                  <c:v>10741</c:v>
                </c:pt>
                <c:pt idx="183">
                  <c:v>6084</c:v>
                </c:pt>
                <c:pt idx="184">
                  <c:v>5252</c:v>
                </c:pt>
                <c:pt idx="185">
                  <c:v>6516</c:v>
                </c:pt>
                <c:pt idx="186">
                  <c:v>7932</c:v>
                </c:pt>
                <c:pt idx="187">
                  <c:v>3506</c:v>
                </c:pt>
                <c:pt idx="188">
                  <c:v>2312</c:v>
                </c:pt>
                <c:pt idx="189">
                  <c:v>1268</c:v>
                </c:pt>
                <c:pt idx="190">
                  <c:v>4423</c:v>
                </c:pt>
                <c:pt idx="191">
                  <c:v>6177</c:v>
                </c:pt>
                <c:pt idx="192">
                  <c:v>5150</c:v>
                </c:pt>
                <c:pt idx="193">
                  <c:v>3783</c:v>
                </c:pt>
                <c:pt idx="194">
                  <c:v>3135</c:v>
                </c:pt>
                <c:pt idx="195">
                  <c:v>4970</c:v>
                </c:pt>
                <c:pt idx="196">
                  <c:v>4366</c:v>
                </c:pt>
                <c:pt idx="197">
                  <c:v>5012</c:v>
                </c:pt>
                <c:pt idx="198">
                  <c:v>5575</c:v>
                </c:pt>
                <c:pt idx="199">
                  <c:v>5955</c:v>
                </c:pt>
                <c:pt idx="200">
                  <c:v>6389</c:v>
                </c:pt>
                <c:pt idx="201">
                  <c:v>6896</c:v>
                </c:pt>
                <c:pt idx="202">
                  <c:v>6015</c:v>
                </c:pt>
                <c:pt idx="203">
                  <c:v>9476</c:v>
                </c:pt>
                <c:pt idx="204">
                  <c:v>7875</c:v>
                </c:pt>
                <c:pt idx="205">
                  <c:v>9283</c:v>
                </c:pt>
                <c:pt idx="206">
                  <c:v>8303</c:v>
                </c:pt>
                <c:pt idx="207">
                  <c:v>10125</c:v>
                </c:pt>
                <c:pt idx="208">
                  <c:v>9458</c:v>
                </c:pt>
                <c:pt idx="209">
                  <c:v>12870</c:v>
                </c:pt>
                <c:pt idx="210">
                  <c:v>9752</c:v>
                </c:pt>
                <c:pt idx="211">
                  <c:v>9505</c:v>
                </c:pt>
                <c:pt idx="212">
                  <c:v>9412</c:v>
                </c:pt>
                <c:pt idx="213">
                  <c:v>9644</c:v>
                </c:pt>
                <c:pt idx="214">
                  <c:v>11224</c:v>
                </c:pt>
                <c:pt idx="215">
                  <c:v>5394</c:v>
                </c:pt>
                <c:pt idx="216">
                  <c:v>5014</c:v>
                </c:pt>
                <c:pt idx="217">
                  <c:v>4467</c:v>
                </c:pt>
                <c:pt idx="218">
                  <c:v>4678</c:v>
                </c:pt>
                <c:pt idx="219">
                  <c:v>7291</c:v>
                </c:pt>
                <c:pt idx="220">
                  <c:v>7404</c:v>
                </c:pt>
                <c:pt idx="221">
                  <c:v>7880</c:v>
                </c:pt>
                <c:pt idx="222">
                  <c:v>8773</c:v>
                </c:pt>
                <c:pt idx="223">
                  <c:v>4713</c:v>
                </c:pt>
                <c:pt idx="224">
                  <c:v>2842</c:v>
                </c:pt>
                <c:pt idx="225">
                  <c:v>3872</c:v>
                </c:pt>
                <c:pt idx="226">
                  <c:v>1375</c:v>
                </c:pt>
                <c:pt idx="227">
                  <c:v>5957</c:v>
                </c:pt>
                <c:pt idx="228">
                  <c:v>8961</c:v>
                </c:pt>
                <c:pt idx="229">
                  <c:v>6545</c:v>
                </c:pt>
                <c:pt idx="230">
                  <c:v>5457</c:v>
                </c:pt>
                <c:pt idx="231">
                  <c:v>4264</c:v>
                </c:pt>
                <c:pt idx="232">
                  <c:v>5321</c:v>
                </c:pt>
                <c:pt idx="233">
                  <c:v>5479</c:v>
                </c:pt>
                <c:pt idx="234">
                  <c:v>6169</c:v>
                </c:pt>
                <c:pt idx="235">
                  <c:v>9908</c:v>
                </c:pt>
                <c:pt idx="236">
                  <c:v>9996</c:v>
                </c:pt>
                <c:pt idx="237">
                  <c:v>9702</c:v>
                </c:pt>
                <c:pt idx="238">
                  <c:v>9314</c:v>
                </c:pt>
                <c:pt idx="239">
                  <c:v>8055</c:v>
                </c:pt>
                <c:pt idx="240">
                  <c:v>5648</c:v>
                </c:pt>
                <c:pt idx="241">
                  <c:v>10076</c:v>
                </c:pt>
                <c:pt idx="242">
                  <c:v>8004</c:v>
                </c:pt>
                <c:pt idx="243">
                  <c:v>8934</c:v>
                </c:pt>
                <c:pt idx="244">
                  <c:v>8733</c:v>
                </c:pt>
                <c:pt idx="245">
                  <c:v>7374</c:v>
                </c:pt>
                <c:pt idx="246">
                  <c:v>8119</c:v>
                </c:pt>
                <c:pt idx="247">
                  <c:v>3875</c:v>
                </c:pt>
                <c:pt idx="248">
                  <c:v>5765</c:v>
                </c:pt>
                <c:pt idx="249">
                  <c:v>6322</c:v>
                </c:pt>
                <c:pt idx="250">
                  <c:v>6840</c:v>
                </c:pt>
                <c:pt idx="251">
                  <c:v>6782</c:v>
                </c:pt>
                <c:pt idx="252">
                  <c:v>6856</c:v>
                </c:pt>
                <c:pt idx="253">
                  <c:v>5641</c:v>
                </c:pt>
                <c:pt idx="254">
                  <c:v>5787</c:v>
                </c:pt>
                <c:pt idx="255">
                  <c:v>8165</c:v>
                </c:pt>
                <c:pt idx="256">
                  <c:v>7574</c:v>
                </c:pt>
                <c:pt idx="257">
                  <c:v>8634</c:v>
                </c:pt>
                <c:pt idx="258">
                  <c:v>7836</c:v>
                </c:pt>
                <c:pt idx="259">
                  <c:v>3047</c:v>
                </c:pt>
                <c:pt idx="260">
                  <c:v>4783</c:v>
                </c:pt>
                <c:pt idx="261">
                  <c:v>4902</c:v>
                </c:pt>
                <c:pt idx="262">
                  <c:v>4022</c:v>
                </c:pt>
                <c:pt idx="263">
                  <c:v>7324</c:v>
                </c:pt>
                <c:pt idx="264">
                  <c:v>8129</c:v>
                </c:pt>
                <c:pt idx="265">
                  <c:v>7969</c:v>
                </c:pt>
                <c:pt idx="266">
                  <c:v>7240</c:v>
                </c:pt>
                <c:pt idx="267">
                  <c:v>8052</c:v>
                </c:pt>
                <c:pt idx="268">
                  <c:v>8018</c:v>
                </c:pt>
                <c:pt idx="269">
                  <c:v>10192</c:v>
                </c:pt>
                <c:pt idx="270">
                  <c:v>7446</c:v>
                </c:pt>
                <c:pt idx="271">
                  <c:v>5689</c:v>
                </c:pt>
                <c:pt idx="272">
                  <c:v>3326</c:v>
                </c:pt>
                <c:pt idx="273">
                  <c:v>5767</c:v>
                </c:pt>
                <c:pt idx="274">
                  <c:v>5893</c:v>
                </c:pt>
                <c:pt idx="275">
                  <c:v>8564</c:v>
                </c:pt>
                <c:pt idx="276">
                  <c:v>8001</c:v>
                </c:pt>
                <c:pt idx="277">
                  <c:v>9324</c:v>
                </c:pt>
                <c:pt idx="278">
                  <c:v>9109</c:v>
                </c:pt>
                <c:pt idx="279">
                  <c:v>4022</c:v>
                </c:pt>
                <c:pt idx="280">
                  <c:v>4355</c:v>
                </c:pt>
                <c:pt idx="281">
                  <c:v>5745</c:v>
                </c:pt>
                <c:pt idx="282">
                  <c:v>3027</c:v>
                </c:pt>
                <c:pt idx="283">
                  <c:v>5562</c:v>
                </c:pt>
                <c:pt idx="284">
                  <c:v>4487</c:v>
                </c:pt>
                <c:pt idx="285">
                  <c:v>4162</c:v>
                </c:pt>
                <c:pt idx="286">
                  <c:v>4094</c:v>
                </c:pt>
                <c:pt idx="287">
                  <c:v>8484</c:v>
                </c:pt>
                <c:pt idx="288">
                  <c:v>7794</c:v>
                </c:pt>
                <c:pt idx="289">
                  <c:v>8300</c:v>
                </c:pt>
                <c:pt idx="290">
                  <c:v>7083</c:v>
                </c:pt>
                <c:pt idx="291">
                  <c:v>3834</c:v>
                </c:pt>
                <c:pt idx="292">
                  <c:v>2358</c:v>
                </c:pt>
                <c:pt idx="293">
                  <c:v>1231</c:v>
                </c:pt>
                <c:pt idx="294">
                  <c:v>1723</c:v>
                </c:pt>
                <c:pt idx="295">
                  <c:v>5896</c:v>
                </c:pt>
                <c:pt idx="296">
                  <c:v>5903</c:v>
                </c:pt>
                <c:pt idx="297">
                  <c:v>4898</c:v>
                </c:pt>
                <c:pt idx="298">
                  <c:v>1462</c:v>
                </c:pt>
                <c:pt idx="299">
                  <c:v>8252</c:v>
                </c:pt>
                <c:pt idx="300">
                  <c:v>7989</c:v>
                </c:pt>
                <c:pt idx="301">
                  <c:v>8268</c:v>
                </c:pt>
                <c:pt idx="302">
                  <c:v>8183</c:v>
                </c:pt>
                <c:pt idx="303">
                  <c:v>6534</c:v>
                </c:pt>
                <c:pt idx="304">
                  <c:v>5804</c:v>
                </c:pt>
                <c:pt idx="305">
                  <c:v>6301</c:v>
                </c:pt>
                <c:pt idx="306">
                  <c:v>6399</c:v>
                </c:pt>
                <c:pt idx="307">
                  <c:v>5759</c:v>
                </c:pt>
                <c:pt idx="308">
                  <c:v>5285</c:v>
                </c:pt>
                <c:pt idx="309">
                  <c:v>5434</c:v>
                </c:pt>
                <c:pt idx="310">
                  <c:v>7479</c:v>
                </c:pt>
                <c:pt idx="311">
                  <c:v>6164</c:v>
                </c:pt>
                <c:pt idx="312">
                  <c:v>7973</c:v>
                </c:pt>
                <c:pt idx="313">
                  <c:v>6000</c:v>
                </c:pt>
                <c:pt idx="314">
                  <c:v>9967</c:v>
                </c:pt>
                <c:pt idx="315">
                  <c:v>5639</c:v>
                </c:pt>
                <c:pt idx="316">
                  <c:v>3466</c:v>
                </c:pt>
                <c:pt idx="317">
                  <c:v>7775</c:v>
                </c:pt>
                <c:pt idx="318">
                  <c:v>5317</c:v>
                </c:pt>
              </c:numCache>
            </c:numRef>
          </c:xVal>
          <c:yVal>
            <c:numRef>
              <c:f>'regression output'!$C$25:$C$343</c:f>
              <c:numCache>
                <c:formatCode>General</c:formatCode>
                <c:ptCount val="319"/>
                <c:pt idx="0">
                  <c:v>-115178.51124446839</c:v>
                </c:pt>
                <c:pt idx="1">
                  <c:v>-93272.965164558147</c:v>
                </c:pt>
                <c:pt idx="2">
                  <c:v>-124443.74022300635</c:v>
                </c:pt>
                <c:pt idx="3">
                  <c:v>-46098.284866600996</c:v>
                </c:pt>
                <c:pt idx="4">
                  <c:v>-34435.034927722649</c:v>
                </c:pt>
                <c:pt idx="5">
                  <c:v>-19114.169544582022</c:v>
                </c:pt>
                <c:pt idx="6">
                  <c:v>97689.619181079208</c:v>
                </c:pt>
                <c:pt idx="7">
                  <c:v>91874.152511340333</c:v>
                </c:pt>
                <c:pt idx="8">
                  <c:v>-5354.1455740646925</c:v>
                </c:pt>
                <c:pt idx="9">
                  <c:v>-51043.610725716921</c:v>
                </c:pt>
                <c:pt idx="10">
                  <c:v>63110.735971495975</c:v>
                </c:pt>
                <c:pt idx="11">
                  <c:v>19251.143564884667</c:v>
                </c:pt>
                <c:pt idx="12">
                  <c:v>-79031.019284054171</c:v>
                </c:pt>
                <c:pt idx="13">
                  <c:v>-17700.082074175472</c:v>
                </c:pt>
                <c:pt idx="14">
                  <c:v>-3296.2143211141229</c:v>
                </c:pt>
                <c:pt idx="15">
                  <c:v>-32337.175101132365</c:v>
                </c:pt>
                <c:pt idx="16">
                  <c:v>-25444.47971338348</c:v>
                </c:pt>
                <c:pt idx="17">
                  <c:v>22390.215193781885</c:v>
                </c:pt>
                <c:pt idx="18">
                  <c:v>-28502.194761137478</c:v>
                </c:pt>
                <c:pt idx="19">
                  <c:v>-131359.76575356018</c:v>
                </c:pt>
                <c:pt idx="20">
                  <c:v>-30114.570357421297</c:v>
                </c:pt>
                <c:pt idx="21">
                  <c:v>-10529.563620474888</c:v>
                </c:pt>
                <c:pt idx="22">
                  <c:v>26201.492759696674</c:v>
                </c:pt>
                <c:pt idx="23">
                  <c:v>270.57508831843734</c:v>
                </c:pt>
                <c:pt idx="24">
                  <c:v>35106.71609604347</c:v>
                </c:pt>
                <c:pt idx="25">
                  <c:v>4455.9676599494414</c:v>
                </c:pt>
                <c:pt idx="26">
                  <c:v>-2782.4939681210089</c:v>
                </c:pt>
                <c:pt idx="27">
                  <c:v>-76923.564301203412</c:v>
                </c:pt>
                <c:pt idx="28">
                  <c:v>5746.9039484827081</c:v>
                </c:pt>
                <c:pt idx="29">
                  <c:v>-34359.747245650389</c:v>
                </c:pt>
                <c:pt idx="30">
                  <c:v>-52987.957724668493</c:v>
                </c:pt>
                <c:pt idx="31">
                  <c:v>-141427.50698364503</c:v>
                </c:pt>
                <c:pt idx="32">
                  <c:v>-64827.947180008399</c:v>
                </c:pt>
                <c:pt idx="33">
                  <c:v>14944.600622741855</c:v>
                </c:pt>
                <c:pt idx="34">
                  <c:v>-18922.415536635322</c:v>
                </c:pt>
                <c:pt idx="35">
                  <c:v>58430.600247621886</c:v>
                </c:pt>
                <c:pt idx="36">
                  <c:v>-19450.19513017172</c:v>
                </c:pt>
                <c:pt idx="37">
                  <c:v>20089.136960137053</c:v>
                </c:pt>
                <c:pt idx="38">
                  <c:v>39289.289290324203</c:v>
                </c:pt>
                <c:pt idx="39">
                  <c:v>15154.406954051345</c:v>
                </c:pt>
                <c:pt idx="40">
                  <c:v>-28916.531724225264</c:v>
                </c:pt>
                <c:pt idx="41">
                  <c:v>91113.222858247696</c:v>
                </c:pt>
                <c:pt idx="42">
                  <c:v>28780.086108303047</c:v>
                </c:pt>
                <c:pt idx="43">
                  <c:v>-34664.998271720833</c:v>
                </c:pt>
                <c:pt idx="44">
                  <c:v>-6039.3387904723641</c:v>
                </c:pt>
                <c:pt idx="45">
                  <c:v>32610.413720036973</c:v>
                </c:pt>
                <c:pt idx="46">
                  <c:v>-6476.8835937397089</c:v>
                </c:pt>
                <c:pt idx="47">
                  <c:v>-5855.0418648140039</c:v>
                </c:pt>
                <c:pt idx="48">
                  <c:v>-41636.198819511803</c:v>
                </c:pt>
                <c:pt idx="49">
                  <c:v>-4638.4963701240486</c:v>
                </c:pt>
                <c:pt idx="50">
                  <c:v>70606.231101021287</c:v>
                </c:pt>
                <c:pt idx="51">
                  <c:v>-99885.825947619276</c:v>
                </c:pt>
                <c:pt idx="52">
                  <c:v>90017.449925233494</c:v>
                </c:pt>
                <c:pt idx="53">
                  <c:v>77456.0508267564</c:v>
                </c:pt>
                <c:pt idx="54">
                  <c:v>-61082.492160467023</c:v>
                </c:pt>
                <c:pt idx="55">
                  <c:v>-13158.606615349534</c:v>
                </c:pt>
                <c:pt idx="56">
                  <c:v>-35807.358511599246</c:v>
                </c:pt>
                <c:pt idx="57">
                  <c:v>27307.620629654382</c:v>
                </c:pt>
                <c:pt idx="58">
                  <c:v>-48918.924356978037</c:v>
                </c:pt>
                <c:pt idx="59">
                  <c:v>113671.10095969378</c:v>
                </c:pt>
                <c:pt idx="60">
                  <c:v>29343.602879635873</c:v>
                </c:pt>
                <c:pt idx="61">
                  <c:v>-11644.292686869856</c:v>
                </c:pt>
                <c:pt idx="62">
                  <c:v>78993.952699313639</c:v>
                </c:pt>
                <c:pt idx="63">
                  <c:v>10291.054415241233</c:v>
                </c:pt>
                <c:pt idx="64">
                  <c:v>-12916.825279150391</c:v>
                </c:pt>
                <c:pt idx="65">
                  <c:v>-105028.0293000954</c:v>
                </c:pt>
                <c:pt idx="66">
                  <c:v>-2289.3018854634138</c:v>
                </c:pt>
                <c:pt idx="67">
                  <c:v>87209.552233293885</c:v>
                </c:pt>
                <c:pt idx="68">
                  <c:v>-68460.105189727969</c:v>
                </c:pt>
                <c:pt idx="69">
                  <c:v>44678.433344917023</c:v>
                </c:pt>
                <c:pt idx="70">
                  <c:v>32485.941036856617</c:v>
                </c:pt>
                <c:pt idx="71">
                  <c:v>-41699.190284866723</c:v>
                </c:pt>
                <c:pt idx="72">
                  <c:v>-59222.372856497997</c:v>
                </c:pt>
                <c:pt idx="73">
                  <c:v>98571.641438712017</c:v>
                </c:pt>
                <c:pt idx="74">
                  <c:v>-60372.520619514631</c:v>
                </c:pt>
                <c:pt idx="75">
                  <c:v>-40710.335327273817</c:v>
                </c:pt>
                <c:pt idx="76">
                  <c:v>31770.928449184401</c:v>
                </c:pt>
                <c:pt idx="77">
                  <c:v>63667.055970757385</c:v>
                </c:pt>
                <c:pt idx="78">
                  <c:v>-23209.350986983511</c:v>
                </c:pt>
                <c:pt idx="79">
                  <c:v>-18237.197487094323</c:v>
                </c:pt>
                <c:pt idx="80">
                  <c:v>76887.03578665352</c:v>
                </c:pt>
                <c:pt idx="81">
                  <c:v>115020.82318828721</c:v>
                </c:pt>
                <c:pt idx="82">
                  <c:v>-4329.7494582025101</c:v>
                </c:pt>
                <c:pt idx="83">
                  <c:v>17737.518552343827</c:v>
                </c:pt>
                <c:pt idx="84">
                  <c:v>22426.719783906126</c:v>
                </c:pt>
                <c:pt idx="85">
                  <c:v>32978.669634927413</c:v>
                </c:pt>
                <c:pt idx="86">
                  <c:v>-40525.635812377674</c:v>
                </c:pt>
                <c:pt idx="87">
                  <c:v>13903.568348329165</c:v>
                </c:pt>
                <c:pt idx="88">
                  <c:v>-12077.361290287692</c:v>
                </c:pt>
                <c:pt idx="89">
                  <c:v>79581.366337487358</c:v>
                </c:pt>
                <c:pt idx="90">
                  <c:v>7799.9605471444083</c:v>
                </c:pt>
                <c:pt idx="91">
                  <c:v>-21457.088154824451</c:v>
                </c:pt>
                <c:pt idx="92">
                  <c:v>75719.794313647319</c:v>
                </c:pt>
                <c:pt idx="93">
                  <c:v>107119.39613042993</c:v>
                </c:pt>
                <c:pt idx="94">
                  <c:v>-54839.955420477781</c:v>
                </c:pt>
                <c:pt idx="95">
                  <c:v>16327.248747141683</c:v>
                </c:pt>
                <c:pt idx="96">
                  <c:v>105198.04362987599</c:v>
                </c:pt>
                <c:pt idx="97">
                  <c:v>-8876.8169499974465</c:v>
                </c:pt>
                <c:pt idx="98">
                  <c:v>40182.861451710225</c:v>
                </c:pt>
                <c:pt idx="99">
                  <c:v>58783.436108303024</c:v>
                </c:pt>
                <c:pt idx="100">
                  <c:v>-15905.407878255472</c:v>
                </c:pt>
                <c:pt idx="101">
                  <c:v>49657.059327014955</c:v>
                </c:pt>
                <c:pt idx="102">
                  <c:v>93019.11507614702</c:v>
                </c:pt>
                <c:pt idx="103">
                  <c:v>17404.241460100049</c:v>
                </c:pt>
                <c:pt idx="104">
                  <c:v>25173.970596006606</c:v>
                </c:pt>
                <c:pt idx="105">
                  <c:v>98988.000178110204</c:v>
                </c:pt>
                <c:pt idx="106">
                  <c:v>-34682.336085165152</c:v>
                </c:pt>
                <c:pt idx="107">
                  <c:v>13920.327712681261</c:v>
                </c:pt>
                <c:pt idx="108">
                  <c:v>21588.328079411411</c:v>
                </c:pt>
                <c:pt idx="109">
                  <c:v>-15980.014518954908</c:v>
                </c:pt>
                <c:pt idx="110">
                  <c:v>122161.81422274758</c:v>
                </c:pt>
                <c:pt idx="111">
                  <c:v>11658.432928497903</c:v>
                </c:pt>
                <c:pt idx="112">
                  <c:v>87942.385835515684</c:v>
                </c:pt>
                <c:pt idx="113">
                  <c:v>-78711.306568791508</c:v>
                </c:pt>
                <c:pt idx="114">
                  <c:v>-58782.455441127298</c:v>
                </c:pt>
                <c:pt idx="115">
                  <c:v>-10861.502537152381</c:v>
                </c:pt>
                <c:pt idx="116">
                  <c:v>72799.364598606247</c:v>
                </c:pt>
                <c:pt idx="117">
                  <c:v>-66290.981736484799</c:v>
                </c:pt>
                <c:pt idx="118">
                  <c:v>9855.0155612507369</c:v>
                </c:pt>
                <c:pt idx="119">
                  <c:v>-74456.695644315041</c:v>
                </c:pt>
                <c:pt idx="120">
                  <c:v>76060.091884909081</c:v>
                </c:pt>
                <c:pt idx="121">
                  <c:v>-46832.668862288119</c:v>
                </c:pt>
                <c:pt idx="122">
                  <c:v>-73057.682126080559</c:v>
                </c:pt>
                <c:pt idx="123">
                  <c:v>96679.816785161966</c:v>
                </c:pt>
                <c:pt idx="124">
                  <c:v>264.21540231688414</c:v>
                </c:pt>
                <c:pt idx="125">
                  <c:v>53681.398162660073</c:v>
                </c:pt>
                <c:pt idx="126">
                  <c:v>-42949.280409414321</c:v>
                </c:pt>
                <c:pt idx="127">
                  <c:v>23217.087216056651</c:v>
                </c:pt>
                <c:pt idx="128">
                  <c:v>-23184.327150968951</c:v>
                </c:pt>
                <c:pt idx="129">
                  <c:v>-64850.06472296943</c:v>
                </c:pt>
                <c:pt idx="130">
                  <c:v>-22142.345874326071</c:v>
                </c:pt>
                <c:pt idx="131">
                  <c:v>-27682.563702984829</c:v>
                </c:pt>
                <c:pt idx="132">
                  <c:v>-110212.30311546026</c:v>
                </c:pt>
                <c:pt idx="133">
                  <c:v>17707.374980638735</c:v>
                </c:pt>
                <c:pt idx="134">
                  <c:v>12705.005552122137</c:v>
                </c:pt>
                <c:pt idx="135">
                  <c:v>-94561.26105575636</c:v>
                </c:pt>
                <c:pt idx="136">
                  <c:v>73925.211699239793</c:v>
                </c:pt>
                <c:pt idx="137">
                  <c:v>78678.525795043446</c:v>
                </c:pt>
                <c:pt idx="138">
                  <c:v>4986.5934304697439</c:v>
                </c:pt>
                <c:pt idx="139">
                  <c:v>39924.355297680013</c:v>
                </c:pt>
                <c:pt idx="140">
                  <c:v>29228.196646138676</c:v>
                </c:pt>
                <c:pt idx="141">
                  <c:v>34630.871887951973</c:v>
                </c:pt>
                <c:pt idx="142">
                  <c:v>31216.382749741315</c:v>
                </c:pt>
                <c:pt idx="143">
                  <c:v>-22618.92907773552</c:v>
                </c:pt>
                <c:pt idx="144">
                  <c:v>-21821.290248176199</c:v>
                </c:pt>
                <c:pt idx="145">
                  <c:v>3112.2067653391277</c:v>
                </c:pt>
                <c:pt idx="146">
                  <c:v>5006.3990550541785</c:v>
                </c:pt>
                <c:pt idx="147">
                  <c:v>-22685.98629296117</c:v>
                </c:pt>
                <c:pt idx="148">
                  <c:v>32468.974457278848</c:v>
                </c:pt>
                <c:pt idx="149">
                  <c:v>52132.145757614169</c:v>
                </c:pt>
                <c:pt idx="150">
                  <c:v>68329.651052897796</c:v>
                </c:pt>
                <c:pt idx="151">
                  <c:v>-7023.4338054053951</c:v>
                </c:pt>
                <c:pt idx="152">
                  <c:v>11336.238337635179</c:v>
                </c:pt>
                <c:pt idx="153">
                  <c:v>-37256.56944142282</c:v>
                </c:pt>
                <c:pt idx="154">
                  <c:v>-18908.785218028817</c:v>
                </c:pt>
                <c:pt idx="155">
                  <c:v>24219.400156721938</c:v>
                </c:pt>
                <c:pt idx="156">
                  <c:v>-37246.941290287767</c:v>
                </c:pt>
                <c:pt idx="157">
                  <c:v>27227.942925455049</c:v>
                </c:pt>
                <c:pt idx="158">
                  <c:v>37246.034073768882</c:v>
                </c:pt>
                <c:pt idx="159">
                  <c:v>-62238.779734032927</c:v>
                </c:pt>
                <c:pt idx="160">
                  <c:v>82133.040178110241</c:v>
                </c:pt>
                <c:pt idx="161">
                  <c:v>-56465.324007854564</c:v>
                </c:pt>
                <c:pt idx="162">
                  <c:v>29342.067818883574</c:v>
                </c:pt>
                <c:pt idx="163">
                  <c:v>46295.044702504412</c:v>
                </c:pt>
                <c:pt idx="164">
                  <c:v>-54125.980388026102</c:v>
                </c:pt>
                <c:pt idx="165">
                  <c:v>-28736.303978815209</c:v>
                </c:pt>
                <c:pt idx="166">
                  <c:v>37043.485199867748</c:v>
                </c:pt>
                <c:pt idx="167">
                  <c:v>-41494.467901209136</c:v>
                </c:pt>
                <c:pt idx="168">
                  <c:v>-123407.64571539208</c:v>
                </c:pt>
                <c:pt idx="169">
                  <c:v>3571.0004630691838</c:v>
                </c:pt>
                <c:pt idx="170">
                  <c:v>-40709.619585054344</c:v>
                </c:pt>
                <c:pt idx="171">
                  <c:v>21648.757356645423</c:v>
                </c:pt>
                <c:pt idx="172">
                  <c:v>-63751.759587358451</c:v>
                </c:pt>
                <c:pt idx="173">
                  <c:v>-39347.639996864833</c:v>
                </c:pt>
                <c:pt idx="174">
                  <c:v>-13814.862932922086</c:v>
                </c:pt>
                <c:pt idx="175">
                  <c:v>-578.53588732436765</c:v>
                </c:pt>
                <c:pt idx="176">
                  <c:v>54059.899016059469</c:v>
                </c:pt>
                <c:pt idx="177">
                  <c:v>18648.138417840935</c:v>
                </c:pt>
                <c:pt idx="178">
                  <c:v>94360.079798381776</c:v>
                </c:pt>
                <c:pt idx="179">
                  <c:v>10377.19906722568</c:v>
                </c:pt>
                <c:pt idx="180">
                  <c:v>-26821.926988992142</c:v>
                </c:pt>
                <c:pt idx="181">
                  <c:v>-35908.32732133579</c:v>
                </c:pt>
                <c:pt idx="182">
                  <c:v>-10538.072004663874</c:v>
                </c:pt>
                <c:pt idx="183">
                  <c:v>18152.190848144586</c:v>
                </c:pt>
                <c:pt idx="184">
                  <c:v>44353.148422449245</c:v>
                </c:pt>
                <c:pt idx="185">
                  <c:v>86758.881146101747</c:v>
                </c:pt>
                <c:pt idx="186">
                  <c:v>-17225.982321705087</c:v>
                </c:pt>
                <c:pt idx="187">
                  <c:v>54458.136384872021</c:v>
                </c:pt>
                <c:pt idx="188">
                  <c:v>22114.670283573796</c:v>
                </c:pt>
                <c:pt idx="189">
                  <c:v>-48247.978769822861</c:v>
                </c:pt>
                <c:pt idx="190">
                  <c:v>-50307.85886228818</c:v>
                </c:pt>
                <c:pt idx="191">
                  <c:v>-23599.419782156358</c:v>
                </c:pt>
                <c:pt idx="192">
                  <c:v>-18387.086370124016</c:v>
                </c:pt>
                <c:pt idx="193">
                  <c:v>-22016.872266669176</c:v>
                </c:pt>
                <c:pt idx="194">
                  <c:v>-108806.78271360503</c:v>
                </c:pt>
                <c:pt idx="195">
                  <c:v>67571.365172393853</c:v>
                </c:pt>
                <c:pt idx="196">
                  <c:v>-28215.476540490869</c:v>
                </c:pt>
                <c:pt idx="197">
                  <c:v>-46427.792854193714</c:v>
                </c:pt>
                <c:pt idx="198">
                  <c:v>90280.845265597804</c:v>
                </c:pt>
                <c:pt idx="199">
                  <c:v>-60186.510213050991</c:v>
                </c:pt>
                <c:pt idx="200">
                  <c:v>113107.89684554492</c:v>
                </c:pt>
                <c:pt idx="201">
                  <c:v>-85648.764332546969</c:v>
                </c:pt>
                <c:pt idx="202">
                  <c:v>-10441.017393890303</c:v>
                </c:pt>
                <c:pt idx="203">
                  <c:v>40087.656891364139</c:v>
                </c:pt>
                <c:pt idx="204">
                  <c:v>67729.950000092154</c:v>
                </c:pt>
                <c:pt idx="205">
                  <c:v>-106204.21051026962</c:v>
                </c:pt>
                <c:pt idx="206">
                  <c:v>-67118.583223227994</c:v>
                </c:pt>
                <c:pt idx="207">
                  <c:v>2270.8657186194323</c:v>
                </c:pt>
                <c:pt idx="208">
                  <c:v>-93041.143954384141</c:v>
                </c:pt>
                <c:pt idx="209">
                  <c:v>40519.679695222527</c:v>
                </c:pt>
                <c:pt idx="210">
                  <c:v>-32877.080140496604</c:v>
                </c:pt>
                <c:pt idx="211">
                  <c:v>26142.939920625067</c:v>
                </c:pt>
                <c:pt idx="212">
                  <c:v>22290.740550926072</c:v>
                </c:pt>
                <c:pt idx="213">
                  <c:v>-38657.415214985842</c:v>
                </c:pt>
                <c:pt idx="214">
                  <c:v>-10558.454310420086</c:v>
                </c:pt>
                <c:pt idx="215">
                  <c:v>35254.348427796154</c:v>
                </c:pt>
                <c:pt idx="216">
                  <c:v>-2556.7160935549764</c:v>
                </c:pt>
                <c:pt idx="217">
                  <c:v>67455.559871763107</c:v>
                </c:pt>
                <c:pt idx="218">
                  <c:v>-7158.2918808549875</c:v>
                </c:pt>
                <c:pt idx="219">
                  <c:v>5364.2358935945667</c:v>
                </c:pt>
                <c:pt idx="220">
                  <c:v>-38224.967130319448</c:v>
                </c:pt>
                <c:pt idx="221">
                  <c:v>4754.6419016889995</c:v>
                </c:pt>
                <c:pt idx="222">
                  <c:v>-36308.074473135639</c:v>
                </c:pt>
                <c:pt idx="223">
                  <c:v>26876.70143032202</c:v>
                </c:pt>
                <c:pt idx="224">
                  <c:v>-11251.128147173207</c:v>
                </c:pt>
                <c:pt idx="225">
                  <c:v>-56939.226418247446</c:v>
                </c:pt>
                <c:pt idx="226">
                  <c:v>34249.947924347012</c:v>
                </c:pt>
                <c:pt idx="227">
                  <c:v>-88199.603452412295</c:v>
                </c:pt>
                <c:pt idx="228">
                  <c:v>104376.6210269013</c:v>
                </c:pt>
                <c:pt idx="229">
                  <c:v>-83215.595824637217</c:v>
                </c:pt>
                <c:pt idx="230">
                  <c:v>6225.7463879149873</c:v>
                </c:pt>
                <c:pt idx="231">
                  <c:v>59436.718666935922</c:v>
                </c:pt>
                <c:pt idx="232">
                  <c:v>86880.226664484013</c:v>
                </c:pt>
                <c:pt idx="233">
                  <c:v>-1407.1092450593133</c:v>
                </c:pt>
                <c:pt idx="234">
                  <c:v>3887.2231752888765</c:v>
                </c:pt>
                <c:pt idx="235">
                  <c:v>-79338.21281067864</c:v>
                </c:pt>
                <c:pt idx="236">
                  <c:v>6791.3146574237617</c:v>
                </c:pt>
                <c:pt idx="237">
                  <c:v>-31133.479156463756</c:v>
                </c:pt>
                <c:pt idx="238">
                  <c:v>-42110.920720369671</c:v>
                </c:pt>
                <c:pt idx="239">
                  <c:v>42823.118457574397</c:v>
                </c:pt>
                <c:pt idx="240">
                  <c:v>28221.747028909973</c:v>
                </c:pt>
                <c:pt idx="241">
                  <c:v>21795.835082971375</c:v>
                </c:pt>
                <c:pt idx="242">
                  <c:v>30813.441061287769</c:v>
                </c:pt>
                <c:pt idx="243">
                  <c:v>36406.194758279016</c:v>
                </c:pt>
                <c:pt idx="244">
                  <c:v>-7938.0696859095478</c:v>
                </c:pt>
                <c:pt idx="245">
                  <c:v>-30592.098539899918</c:v>
                </c:pt>
                <c:pt idx="246">
                  <c:v>-56569.175201987615</c:v>
                </c:pt>
                <c:pt idx="247">
                  <c:v>22055.628722710651</c:v>
                </c:pt>
                <c:pt idx="248">
                  <c:v>-9547.1824737265706</c:v>
                </c:pt>
                <c:pt idx="249">
                  <c:v>-24258.47463585122</c:v>
                </c:pt>
                <c:pt idx="250">
                  <c:v>38708.856369569665</c:v>
                </c:pt>
                <c:pt idx="251">
                  <c:v>76291.000311047654</c:v>
                </c:pt>
                <c:pt idx="252">
                  <c:v>107743.3204546792</c:v>
                </c:pt>
                <c:pt idx="253">
                  <c:v>72214.138366674539</c:v>
                </c:pt>
                <c:pt idx="254">
                  <c:v>-40694.99810670095</c:v>
                </c:pt>
                <c:pt idx="255">
                  <c:v>102005.63029270235</c:v>
                </c:pt>
                <c:pt idx="256">
                  <c:v>-19085.192476030788</c:v>
                </c:pt>
                <c:pt idx="257">
                  <c:v>-8754.4093375246739</c:v>
                </c:pt>
                <c:pt idx="258">
                  <c:v>49770.11316763761</c:v>
                </c:pt>
                <c:pt idx="259">
                  <c:v>-26273.080181707395</c:v>
                </c:pt>
                <c:pt idx="260">
                  <c:v>-11439.181947323843</c:v>
                </c:pt>
                <c:pt idx="261">
                  <c:v>56195.695310678333</c:v>
                </c:pt>
                <c:pt idx="262">
                  <c:v>46629.70062965434</c:v>
                </c:pt>
                <c:pt idx="263">
                  <c:v>949.81244413275272</c:v>
                </c:pt>
                <c:pt idx="264">
                  <c:v>30977.508601205889</c:v>
                </c:pt>
                <c:pt idx="265">
                  <c:v>14485.337750110659</c:v>
                </c:pt>
                <c:pt idx="266">
                  <c:v>57296.068497307831</c:v>
                </c:pt>
                <c:pt idx="267">
                  <c:v>-73428.566683383659</c:v>
                </c:pt>
                <c:pt idx="268">
                  <c:v>6527.5583857586607</c:v>
                </c:pt>
                <c:pt idx="269">
                  <c:v>-10814.562799984589</c:v>
                </c:pt>
                <c:pt idx="270">
                  <c:v>-119054.07515690709</c:v>
                </c:pt>
                <c:pt idx="271">
                  <c:v>-4541.5093779969029</c:v>
                </c:pt>
                <c:pt idx="272">
                  <c:v>-3503.0720726101426</c:v>
                </c:pt>
                <c:pt idx="273">
                  <c:v>-16532.365713087958</c:v>
                </c:pt>
                <c:pt idx="274">
                  <c:v>29863.060207149596</c:v>
                </c:pt>
                <c:pt idx="275">
                  <c:v>-79291.045959878829</c:v>
                </c:pt>
                <c:pt idx="276">
                  <c:v>6309.1959203296574</c:v>
                </c:pt>
                <c:pt idx="277">
                  <c:v>-22918.846917176386</c:v>
                </c:pt>
                <c:pt idx="278">
                  <c:v>-10729.598685835605</c:v>
                </c:pt>
                <c:pt idx="279">
                  <c:v>-65083.959370345692</c:v>
                </c:pt>
                <c:pt idx="280">
                  <c:v>-46331.048724003602</c:v>
                </c:pt>
                <c:pt idx="281">
                  <c:v>62500.109919886454</c:v>
                </c:pt>
                <c:pt idx="282">
                  <c:v>-56970.847788094368</c:v>
                </c:pt>
                <c:pt idx="283">
                  <c:v>-8265.3636785537237</c:v>
                </c:pt>
                <c:pt idx="284">
                  <c:v>26401.497478149948</c:v>
                </c:pt>
                <c:pt idx="285">
                  <c:v>14960.24387436267</c:v>
                </c:pt>
                <c:pt idx="286">
                  <c:v>-44453.945987352869</c:v>
                </c:pt>
                <c:pt idx="287">
                  <c:v>-20082.836385426461</c:v>
                </c:pt>
                <c:pt idx="288">
                  <c:v>-28577.148805774748</c:v>
                </c:pt>
                <c:pt idx="289">
                  <c:v>70387.751635813853</c:v>
                </c:pt>
                <c:pt idx="290">
                  <c:v>2649.6827871706337</c:v>
                </c:pt>
                <c:pt idx="291">
                  <c:v>-37038.524870382622</c:v>
                </c:pt>
                <c:pt idx="292">
                  <c:v>2628.4257782635977</c:v>
                </c:pt>
                <c:pt idx="293">
                  <c:v>8769.5611583613208</c:v>
                </c:pt>
                <c:pt idx="294">
                  <c:v>-20052.295724520751</c:v>
                </c:pt>
                <c:pt idx="295">
                  <c:v>11477.305348107591</c:v>
                </c:pt>
                <c:pt idx="296">
                  <c:v>105930.12401034299</c:v>
                </c:pt>
                <c:pt idx="297">
                  <c:v>-22284.618210599176</c:v>
                </c:pt>
                <c:pt idx="298">
                  <c:v>-96876.802987869887</c:v>
                </c:pt>
                <c:pt idx="299">
                  <c:v>-37399.890619514626</c:v>
                </c:pt>
                <c:pt idx="300">
                  <c:v>-7463.4746435025008</c:v>
                </c:pt>
                <c:pt idx="301">
                  <c:v>-10894.896534405067</c:v>
                </c:pt>
                <c:pt idx="302">
                  <c:v>41834.931138450513</c:v>
                </c:pt>
                <c:pt idx="303">
                  <c:v>48165.881991849979</c:v>
                </c:pt>
                <c:pt idx="304">
                  <c:v>-115316.91564127221</c:v>
                </c:pt>
                <c:pt idx="305">
                  <c:v>-6118.9806225574575</c:v>
                </c:pt>
                <c:pt idx="306">
                  <c:v>-23800.949351261603</c:v>
                </c:pt>
                <c:pt idx="307">
                  <c:v>-23545.792755642673</c:v>
                </c:pt>
                <c:pt idx="308">
                  <c:v>-98612.985027012415</c:v>
                </c:pt>
                <c:pt idx="309">
                  <c:v>-18787.516359429923</c:v>
                </c:pt>
                <c:pt idx="310">
                  <c:v>57552.191393631394</c:v>
                </c:pt>
                <c:pt idx="311">
                  <c:v>35488.971273692092</c:v>
                </c:pt>
                <c:pt idx="312">
                  <c:v>-42869.718728611944</c:v>
                </c:pt>
                <c:pt idx="313">
                  <c:v>51675.536901319632</c:v>
                </c:pt>
                <c:pt idx="314">
                  <c:v>42183.761628162814</c:v>
                </c:pt>
                <c:pt idx="315">
                  <c:v>-27529.698393964209</c:v>
                </c:pt>
                <c:pt idx="316">
                  <c:v>-33260.208827901632</c:v>
                </c:pt>
                <c:pt idx="317">
                  <c:v>2616.8619681575801</c:v>
                </c:pt>
                <c:pt idx="318">
                  <c:v>-76621.036856793449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DD-45A8-8872-65006813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063968"/>
        <c:axId val="1388077888"/>
      </c:scatterChart>
      <c:valAx>
        <c:axId val="138806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8302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077888"/>
        <c:crosses val="autoZero"/>
        <c:crossBetween val="midCat"/>
      </c:valAx>
      <c:valAx>
        <c:axId val="138807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0639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8302 Line Fit  Plot</a:t>
            </a:r>
          </a:p>
        </c:rich>
      </c:tx>
      <c:layout>
        <c:manualLayout>
          <c:xMode val="edge"/>
          <c:yMode val="edge"/>
          <c:x val="0.2787584755030621"/>
          <c:y val="3.424657534246575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store_performance!$F$3:$F$321</c:f>
              <c:numCache>
                <c:formatCode>General</c:formatCode>
                <c:ptCount val="319"/>
                <c:pt idx="0">
                  <c:v>8487</c:v>
                </c:pt>
                <c:pt idx="1">
                  <c:v>9113</c:v>
                </c:pt>
                <c:pt idx="2">
                  <c:v>9431</c:v>
                </c:pt>
                <c:pt idx="3">
                  <c:v>9545</c:v>
                </c:pt>
                <c:pt idx="4">
                  <c:v>9792</c:v>
                </c:pt>
                <c:pt idx="5">
                  <c:v>10616</c:v>
                </c:pt>
                <c:pt idx="6">
                  <c:v>8567</c:v>
                </c:pt>
                <c:pt idx="7">
                  <c:v>10979</c:v>
                </c:pt>
                <c:pt idx="8">
                  <c:v>9459</c:v>
                </c:pt>
                <c:pt idx="9">
                  <c:v>9172</c:v>
                </c:pt>
                <c:pt idx="10">
                  <c:v>11230</c:v>
                </c:pt>
                <c:pt idx="11">
                  <c:v>12775</c:v>
                </c:pt>
                <c:pt idx="12">
                  <c:v>10054</c:v>
                </c:pt>
                <c:pt idx="13">
                  <c:v>8895</c:v>
                </c:pt>
                <c:pt idx="14">
                  <c:v>10940</c:v>
                </c:pt>
                <c:pt idx="15">
                  <c:v>7057</c:v>
                </c:pt>
                <c:pt idx="16">
                  <c:v>4263</c:v>
                </c:pt>
                <c:pt idx="17">
                  <c:v>5538</c:v>
                </c:pt>
                <c:pt idx="18">
                  <c:v>4865</c:v>
                </c:pt>
                <c:pt idx="19">
                  <c:v>2822</c:v>
                </c:pt>
                <c:pt idx="20">
                  <c:v>2121</c:v>
                </c:pt>
                <c:pt idx="21">
                  <c:v>3364</c:v>
                </c:pt>
                <c:pt idx="22">
                  <c:v>2613</c:v>
                </c:pt>
                <c:pt idx="23">
                  <c:v>10218</c:v>
                </c:pt>
                <c:pt idx="24">
                  <c:v>8927</c:v>
                </c:pt>
                <c:pt idx="25">
                  <c:v>9315</c:v>
                </c:pt>
                <c:pt idx="26">
                  <c:v>7223</c:v>
                </c:pt>
                <c:pt idx="27">
                  <c:v>3988</c:v>
                </c:pt>
                <c:pt idx="28">
                  <c:v>2390</c:v>
                </c:pt>
                <c:pt idx="29">
                  <c:v>2471</c:v>
                </c:pt>
                <c:pt idx="30">
                  <c:v>971</c:v>
                </c:pt>
                <c:pt idx="31">
                  <c:v>9429</c:v>
                </c:pt>
                <c:pt idx="32">
                  <c:v>11695</c:v>
                </c:pt>
                <c:pt idx="33">
                  <c:v>9449</c:v>
                </c:pt>
                <c:pt idx="34">
                  <c:v>10453</c:v>
                </c:pt>
                <c:pt idx="35">
                  <c:v>8838</c:v>
                </c:pt>
                <c:pt idx="36">
                  <c:v>8156</c:v>
                </c:pt>
                <c:pt idx="37">
                  <c:v>7562</c:v>
                </c:pt>
                <c:pt idx="38">
                  <c:v>9598</c:v>
                </c:pt>
                <c:pt idx="39">
                  <c:v>3660</c:v>
                </c:pt>
                <c:pt idx="40">
                  <c:v>3227</c:v>
                </c:pt>
                <c:pt idx="41">
                  <c:v>3360</c:v>
                </c:pt>
                <c:pt idx="42">
                  <c:v>3642</c:v>
                </c:pt>
                <c:pt idx="43">
                  <c:v>5145</c:v>
                </c:pt>
                <c:pt idx="44">
                  <c:v>4460</c:v>
                </c:pt>
                <c:pt idx="45">
                  <c:v>3804</c:v>
                </c:pt>
                <c:pt idx="46">
                  <c:v>4074</c:v>
                </c:pt>
                <c:pt idx="47">
                  <c:v>5104</c:v>
                </c:pt>
                <c:pt idx="48">
                  <c:v>5559</c:v>
                </c:pt>
                <c:pt idx="49">
                  <c:v>5150</c:v>
                </c:pt>
                <c:pt idx="50">
                  <c:v>7189</c:v>
                </c:pt>
                <c:pt idx="51">
                  <c:v>3279</c:v>
                </c:pt>
                <c:pt idx="52">
                  <c:v>5887</c:v>
                </c:pt>
                <c:pt idx="53">
                  <c:v>5516</c:v>
                </c:pt>
                <c:pt idx="54">
                  <c:v>2863</c:v>
                </c:pt>
                <c:pt idx="55">
                  <c:v>2378</c:v>
                </c:pt>
                <c:pt idx="56">
                  <c:v>2515</c:v>
                </c:pt>
                <c:pt idx="57">
                  <c:v>4022</c:v>
                </c:pt>
                <c:pt idx="58">
                  <c:v>4377</c:v>
                </c:pt>
                <c:pt idx="59">
                  <c:v>5306</c:v>
                </c:pt>
                <c:pt idx="60">
                  <c:v>3928</c:v>
                </c:pt>
                <c:pt idx="61">
                  <c:v>3845</c:v>
                </c:pt>
                <c:pt idx="62">
                  <c:v>6620</c:v>
                </c:pt>
                <c:pt idx="63">
                  <c:v>9175</c:v>
                </c:pt>
                <c:pt idx="64">
                  <c:v>7940</c:v>
                </c:pt>
                <c:pt idx="65">
                  <c:v>9628</c:v>
                </c:pt>
                <c:pt idx="66">
                  <c:v>8296</c:v>
                </c:pt>
                <c:pt idx="67">
                  <c:v>3595</c:v>
                </c:pt>
                <c:pt idx="68">
                  <c:v>2834</c:v>
                </c:pt>
                <c:pt idx="69">
                  <c:v>3193</c:v>
                </c:pt>
                <c:pt idx="70">
                  <c:v>5485</c:v>
                </c:pt>
                <c:pt idx="71">
                  <c:v>5918</c:v>
                </c:pt>
                <c:pt idx="72">
                  <c:v>6821</c:v>
                </c:pt>
                <c:pt idx="73">
                  <c:v>6806</c:v>
                </c:pt>
                <c:pt idx="74">
                  <c:v>8252</c:v>
                </c:pt>
                <c:pt idx="75">
                  <c:v>6662</c:v>
                </c:pt>
                <c:pt idx="76">
                  <c:v>5962</c:v>
                </c:pt>
                <c:pt idx="77">
                  <c:v>7470</c:v>
                </c:pt>
                <c:pt idx="78">
                  <c:v>5974</c:v>
                </c:pt>
                <c:pt idx="79">
                  <c:v>5410</c:v>
                </c:pt>
                <c:pt idx="80">
                  <c:v>4451</c:v>
                </c:pt>
                <c:pt idx="81">
                  <c:v>4644</c:v>
                </c:pt>
                <c:pt idx="82">
                  <c:v>3559</c:v>
                </c:pt>
                <c:pt idx="83">
                  <c:v>3091</c:v>
                </c:pt>
                <c:pt idx="84">
                  <c:v>4004</c:v>
                </c:pt>
                <c:pt idx="85">
                  <c:v>3788</c:v>
                </c:pt>
                <c:pt idx="86">
                  <c:v>1260</c:v>
                </c:pt>
                <c:pt idx="87">
                  <c:v>7024</c:v>
                </c:pt>
                <c:pt idx="88">
                  <c:v>5400</c:v>
                </c:pt>
                <c:pt idx="89">
                  <c:v>5988</c:v>
                </c:pt>
                <c:pt idx="90">
                  <c:v>3701</c:v>
                </c:pt>
                <c:pt idx="91">
                  <c:v>4509</c:v>
                </c:pt>
                <c:pt idx="92">
                  <c:v>6477</c:v>
                </c:pt>
                <c:pt idx="93">
                  <c:v>7970</c:v>
                </c:pt>
                <c:pt idx="94">
                  <c:v>6057</c:v>
                </c:pt>
                <c:pt idx="95">
                  <c:v>6394</c:v>
                </c:pt>
                <c:pt idx="96">
                  <c:v>5150</c:v>
                </c:pt>
                <c:pt idx="97">
                  <c:v>4712</c:v>
                </c:pt>
                <c:pt idx="98">
                  <c:v>5281</c:v>
                </c:pt>
                <c:pt idx="99">
                  <c:v>3642</c:v>
                </c:pt>
                <c:pt idx="100">
                  <c:v>4373</c:v>
                </c:pt>
                <c:pt idx="101">
                  <c:v>6832</c:v>
                </c:pt>
                <c:pt idx="102">
                  <c:v>2414</c:v>
                </c:pt>
                <c:pt idx="103">
                  <c:v>7374</c:v>
                </c:pt>
                <c:pt idx="104">
                  <c:v>8739</c:v>
                </c:pt>
                <c:pt idx="105">
                  <c:v>6992</c:v>
                </c:pt>
                <c:pt idx="106">
                  <c:v>7107</c:v>
                </c:pt>
                <c:pt idx="107">
                  <c:v>6975</c:v>
                </c:pt>
                <c:pt idx="108">
                  <c:v>5493</c:v>
                </c:pt>
                <c:pt idx="109">
                  <c:v>5686</c:v>
                </c:pt>
                <c:pt idx="110">
                  <c:v>4063</c:v>
                </c:pt>
                <c:pt idx="111">
                  <c:v>8966</c:v>
                </c:pt>
                <c:pt idx="112">
                  <c:v>9489</c:v>
                </c:pt>
                <c:pt idx="113">
                  <c:v>9225</c:v>
                </c:pt>
                <c:pt idx="114">
                  <c:v>9249</c:v>
                </c:pt>
                <c:pt idx="115">
                  <c:v>7821</c:v>
                </c:pt>
                <c:pt idx="116">
                  <c:v>8434</c:v>
                </c:pt>
                <c:pt idx="117">
                  <c:v>8512</c:v>
                </c:pt>
                <c:pt idx="118">
                  <c:v>7816</c:v>
                </c:pt>
                <c:pt idx="119">
                  <c:v>3853</c:v>
                </c:pt>
                <c:pt idx="120">
                  <c:v>3694</c:v>
                </c:pt>
                <c:pt idx="121">
                  <c:v>4423</c:v>
                </c:pt>
                <c:pt idx="122">
                  <c:v>1906</c:v>
                </c:pt>
                <c:pt idx="123">
                  <c:v>10396</c:v>
                </c:pt>
                <c:pt idx="124">
                  <c:v>11076</c:v>
                </c:pt>
                <c:pt idx="125">
                  <c:v>9574</c:v>
                </c:pt>
                <c:pt idx="126">
                  <c:v>8221</c:v>
                </c:pt>
                <c:pt idx="127">
                  <c:v>10618</c:v>
                </c:pt>
                <c:pt idx="128">
                  <c:v>10596</c:v>
                </c:pt>
                <c:pt idx="129">
                  <c:v>9619</c:v>
                </c:pt>
                <c:pt idx="130">
                  <c:v>10836</c:v>
                </c:pt>
                <c:pt idx="131">
                  <c:v>3043</c:v>
                </c:pt>
                <c:pt idx="132">
                  <c:v>1814</c:v>
                </c:pt>
                <c:pt idx="133">
                  <c:v>3618</c:v>
                </c:pt>
                <c:pt idx="134">
                  <c:v>1963</c:v>
                </c:pt>
                <c:pt idx="135">
                  <c:v>7888</c:v>
                </c:pt>
                <c:pt idx="136">
                  <c:v>6244</c:v>
                </c:pt>
                <c:pt idx="137">
                  <c:v>6544</c:v>
                </c:pt>
                <c:pt idx="138">
                  <c:v>5465</c:v>
                </c:pt>
                <c:pt idx="139">
                  <c:v>6427</c:v>
                </c:pt>
                <c:pt idx="140">
                  <c:v>6704</c:v>
                </c:pt>
                <c:pt idx="141">
                  <c:v>5645</c:v>
                </c:pt>
                <c:pt idx="142">
                  <c:v>6089</c:v>
                </c:pt>
                <c:pt idx="143">
                  <c:v>4312</c:v>
                </c:pt>
                <c:pt idx="144">
                  <c:v>3152</c:v>
                </c:pt>
                <c:pt idx="145">
                  <c:v>4259</c:v>
                </c:pt>
                <c:pt idx="146">
                  <c:v>3350</c:v>
                </c:pt>
                <c:pt idx="147">
                  <c:v>5329</c:v>
                </c:pt>
                <c:pt idx="148">
                  <c:v>6551</c:v>
                </c:pt>
                <c:pt idx="149">
                  <c:v>5550</c:v>
                </c:pt>
                <c:pt idx="150">
                  <c:v>5911</c:v>
                </c:pt>
                <c:pt idx="151">
                  <c:v>9674</c:v>
                </c:pt>
                <c:pt idx="152">
                  <c:v>6740</c:v>
                </c:pt>
                <c:pt idx="153">
                  <c:v>7745</c:v>
                </c:pt>
                <c:pt idx="154">
                  <c:v>7693</c:v>
                </c:pt>
                <c:pt idx="155">
                  <c:v>6424</c:v>
                </c:pt>
                <c:pt idx="156">
                  <c:v>5400</c:v>
                </c:pt>
                <c:pt idx="157">
                  <c:v>7015</c:v>
                </c:pt>
                <c:pt idx="158">
                  <c:v>3847</c:v>
                </c:pt>
                <c:pt idx="159">
                  <c:v>7455</c:v>
                </c:pt>
                <c:pt idx="160">
                  <c:v>6992</c:v>
                </c:pt>
                <c:pt idx="161">
                  <c:v>8038</c:v>
                </c:pt>
                <c:pt idx="162">
                  <c:v>6055</c:v>
                </c:pt>
                <c:pt idx="163">
                  <c:v>9323</c:v>
                </c:pt>
                <c:pt idx="164">
                  <c:v>8789</c:v>
                </c:pt>
                <c:pt idx="165">
                  <c:v>6939</c:v>
                </c:pt>
                <c:pt idx="166">
                  <c:v>9440</c:v>
                </c:pt>
                <c:pt idx="167">
                  <c:v>9374</c:v>
                </c:pt>
                <c:pt idx="168">
                  <c:v>7576</c:v>
                </c:pt>
                <c:pt idx="169">
                  <c:v>8949</c:v>
                </c:pt>
                <c:pt idx="170">
                  <c:v>7671</c:v>
                </c:pt>
                <c:pt idx="171">
                  <c:v>8741</c:v>
                </c:pt>
                <c:pt idx="172">
                  <c:v>9480</c:v>
                </c:pt>
                <c:pt idx="173">
                  <c:v>9826</c:v>
                </c:pt>
                <c:pt idx="174">
                  <c:v>10402</c:v>
                </c:pt>
                <c:pt idx="175">
                  <c:v>12361</c:v>
                </c:pt>
                <c:pt idx="176">
                  <c:v>7925</c:v>
                </c:pt>
                <c:pt idx="177">
                  <c:v>8870</c:v>
                </c:pt>
                <c:pt idx="178">
                  <c:v>9999</c:v>
                </c:pt>
                <c:pt idx="179">
                  <c:v>11154</c:v>
                </c:pt>
                <c:pt idx="180">
                  <c:v>9287</c:v>
                </c:pt>
                <c:pt idx="181">
                  <c:v>9812</c:v>
                </c:pt>
                <c:pt idx="182">
                  <c:v>10741</c:v>
                </c:pt>
                <c:pt idx="183">
                  <c:v>6084</c:v>
                </c:pt>
                <c:pt idx="184">
                  <c:v>5252</c:v>
                </c:pt>
                <c:pt idx="185">
                  <c:v>6516</c:v>
                </c:pt>
                <c:pt idx="186">
                  <c:v>7932</c:v>
                </c:pt>
                <c:pt idx="187">
                  <c:v>3506</c:v>
                </c:pt>
                <c:pt idx="188">
                  <c:v>2312</c:v>
                </c:pt>
                <c:pt idx="189">
                  <c:v>1268</c:v>
                </c:pt>
                <c:pt idx="190">
                  <c:v>4423</c:v>
                </c:pt>
                <c:pt idx="191">
                  <c:v>6177</c:v>
                </c:pt>
                <c:pt idx="192">
                  <c:v>5150</c:v>
                </c:pt>
                <c:pt idx="193">
                  <c:v>3783</c:v>
                </c:pt>
                <c:pt idx="194">
                  <c:v>3135</c:v>
                </c:pt>
                <c:pt idx="195">
                  <c:v>4970</c:v>
                </c:pt>
                <c:pt idx="196">
                  <c:v>4366</c:v>
                </c:pt>
                <c:pt idx="197">
                  <c:v>5012</c:v>
                </c:pt>
                <c:pt idx="198">
                  <c:v>5575</c:v>
                </c:pt>
                <c:pt idx="199">
                  <c:v>5955</c:v>
                </c:pt>
                <c:pt idx="200">
                  <c:v>6389</c:v>
                </c:pt>
                <c:pt idx="201">
                  <c:v>6896</c:v>
                </c:pt>
                <c:pt idx="202">
                  <c:v>6015</c:v>
                </c:pt>
                <c:pt idx="203">
                  <c:v>9476</c:v>
                </c:pt>
                <c:pt idx="204">
                  <c:v>7875</c:v>
                </c:pt>
                <c:pt idx="205">
                  <c:v>9283</c:v>
                </c:pt>
                <c:pt idx="206">
                  <c:v>8303</c:v>
                </c:pt>
                <c:pt idx="207">
                  <c:v>10125</c:v>
                </c:pt>
                <c:pt idx="208">
                  <c:v>9458</c:v>
                </c:pt>
                <c:pt idx="209">
                  <c:v>12870</c:v>
                </c:pt>
                <c:pt idx="210">
                  <c:v>9752</c:v>
                </c:pt>
                <c:pt idx="211">
                  <c:v>9505</c:v>
                </c:pt>
                <c:pt idx="212">
                  <c:v>9412</c:v>
                </c:pt>
                <c:pt idx="213">
                  <c:v>9644</c:v>
                </c:pt>
                <c:pt idx="214">
                  <c:v>11224</c:v>
                </c:pt>
                <c:pt idx="215">
                  <c:v>5394</c:v>
                </c:pt>
                <c:pt idx="216">
                  <c:v>5014</c:v>
                </c:pt>
                <c:pt idx="217">
                  <c:v>4467</c:v>
                </c:pt>
                <c:pt idx="218">
                  <c:v>4678</c:v>
                </c:pt>
                <c:pt idx="219">
                  <c:v>7291</c:v>
                </c:pt>
                <c:pt idx="220">
                  <c:v>7404</c:v>
                </c:pt>
                <c:pt idx="221">
                  <c:v>7880</c:v>
                </c:pt>
                <c:pt idx="222">
                  <c:v>8773</c:v>
                </c:pt>
                <c:pt idx="223">
                  <c:v>4713</c:v>
                </c:pt>
                <c:pt idx="224">
                  <c:v>2842</c:v>
                </c:pt>
                <c:pt idx="225">
                  <c:v>3872</c:v>
                </c:pt>
                <c:pt idx="226">
                  <c:v>1375</c:v>
                </c:pt>
                <c:pt idx="227">
                  <c:v>5957</c:v>
                </c:pt>
                <c:pt idx="228">
                  <c:v>8961</c:v>
                </c:pt>
                <c:pt idx="229">
                  <c:v>6545</c:v>
                </c:pt>
                <c:pt idx="230">
                  <c:v>5457</c:v>
                </c:pt>
                <c:pt idx="231">
                  <c:v>4264</c:v>
                </c:pt>
                <c:pt idx="232">
                  <c:v>5321</c:v>
                </c:pt>
                <c:pt idx="233">
                  <c:v>5479</c:v>
                </c:pt>
                <c:pt idx="234">
                  <c:v>6169</c:v>
                </c:pt>
                <c:pt idx="235">
                  <c:v>9908</c:v>
                </c:pt>
                <c:pt idx="236">
                  <c:v>9996</c:v>
                </c:pt>
                <c:pt idx="237">
                  <c:v>9702</c:v>
                </c:pt>
                <c:pt idx="238">
                  <c:v>9314</c:v>
                </c:pt>
                <c:pt idx="239">
                  <c:v>8055</c:v>
                </c:pt>
                <c:pt idx="240">
                  <c:v>5648</c:v>
                </c:pt>
                <c:pt idx="241">
                  <c:v>10076</c:v>
                </c:pt>
                <c:pt idx="242">
                  <c:v>8004</c:v>
                </c:pt>
                <c:pt idx="243">
                  <c:v>8934</c:v>
                </c:pt>
                <c:pt idx="244">
                  <c:v>8733</c:v>
                </c:pt>
                <c:pt idx="245">
                  <c:v>7374</c:v>
                </c:pt>
                <c:pt idx="246">
                  <c:v>8119</c:v>
                </c:pt>
                <c:pt idx="247">
                  <c:v>3875</c:v>
                </c:pt>
                <c:pt idx="248">
                  <c:v>5765</c:v>
                </c:pt>
                <c:pt idx="249">
                  <c:v>6322</c:v>
                </c:pt>
                <c:pt idx="250">
                  <c:v>6840</c:v>
                </c:pt>
                <c:pt idx="251">
                  <c:v>6782</c:v>
                </c:pt>
                <c:pt idx="252">
                  <c:v>6856</c:v>
                </c:pt>
                <c:pt idx="253">
                  <c:v>5641</c:v>
                </c:pt>
                <c:pt idx="254">
                  <c:v>5787</c:v>
                </c:pt>
                <c:pt idx="255">
                  <c:v>8165</c:v>
                </c:pt>
                <c:pt idx="256">
                  <c:v>7574</c:v>
                </c:pt>
                <c:pt idx="257">
                  <c:v>8634</c:v>
                </c:pt>
                <c:pt idx="258">
                  <c:v>7836</c:v>
                </c:pt>
                <c:pt idx="259">
                  <c:v>3047</c:v>
                </c:pt>
                <c:pt idx="260">
                  <c:v>4783</c:v>
                </c:pt>
                <c:pt idx="261">
                  <c:v>4902</c:v>
                </c:pt>
                <c:pt idx="262">
                  <c:v>4022</c:v>
                </c:pt>
                <c:pt idx="263">
                  <c:v>7324</c:v>
                </c:pt>
                <c:pt idx="264">
                  <c:v>8129</c:v>
                </c:pt>
                <c:pt idx="265">
                  <c:v>7969</c:v>
                </c:pt>
                <c:pt idx="266">
                  <c:v>7240</c:v>
                </c:pt>
                <c:pt idx="267">
                  <c:v>8052</c:v>
                </c:pt>
                <c:pt idx="268">
                  <c:v>8018</c:v>
                </c:pt>
                <c:pt idx="269">
                  <c:v>10192</c:v>
                </c:pt>
                <c:pt idx="270">
                  <c:v>7446</c:v>
                </c:pt>
                <c:pt idx="271">
                  <c:v>5689</c:v>
                </c:pt>
                <c:pt idx="272">
                  <c:v>3326</c:v>
                </c:pt>
                <c:pt idx="273">
                  <c:v>5767</c:v>
                </c:pt>
                <c:pt idx="274">
                  <c:v>5893</c:v>
                </c:pt>
                <c:pt idx="275">
                  <c:v>8564</c:v>
                </c:pt>
                <c:pt idx="276">
                  <c:v>8001</c:v>
                </c:pt>
                <c:pt idx="277">
                  <c:v>9324</c:v>
                </c:pt>
                <c:pt idx="278">
                  <c:v>9109</c:v>
                </c:pt>
                <c:pt idx="279">
                  <c:v>4022</c:v>
                </c:pt>
                <c:pt idx="280">
                  <c:v>4355</c:v>
                </c:pt>
                <c:pt idx="281">
                  <c:v>5745</c:v>
                </c:pt>
                <c:pt idx="282">
                  <c:v>3027</c:v>
                </c:pt>
                <c:pt idx="283">
                  <c:v>5562</c:v>
                </c:pt>
                <c:pt idx="284">
                  <c:v>4487</c:v>
                </c:pt>
                <c:pt idx="285">
                  <c:v>4162</c:v>
                </c:pt>
                <c:pt idx="286">
                  <c:v>4094</c:v>
                </c:pt>
                <c:pt idx="287">
                  <c:v>8484</c:v>
                </c:pt>
                <c:pt idx="288">
                  <c:v>7794</c:v>
                </c:pt>
                <c:pt idx="289">
                  <c:v>8300</c:v>
                </c:pt>
                <c:pt idx="290">
                  <c:v>7083</c:v>
                </c:pt>
                <c:pt idx="291">
                  <c:v>3834</c:v>
                </c:pt>
                <c:pt idx="292">
                  <c:v>2358</c:v>
                </c:pt>
                <c:pt idx="293">
                  <c:v>1231</c:v>
                </c:pt>
                <c:pt idx="294">
                  <c:v>1723</c:v>
                </c:pt>
                <c:pt idx="295">
                  <c:v>5896</c:v>
                </c:pt>
                <c:pt idx="296">
                  <c:v>5903</c:v>
                </c:pt>
                <c:pt idx="297">
                  <c:v>4898</c:v>
                </c:pt>
                <c:pt idx="298">
                  <c:v>1462</c:v>
                </c:pt>
                <c:pt idx="299">
                  <c:v>8252</c:v>
                </c:pt>
                <c:pt idx="300">
                  <c:v>7989</c:v>
                </c:pt>
                <c:pt idx="301">
                  <c:v>8268</c:v>
                </c:pt>
                <c:pt idx="302">
                  <c:v>8183</c:v>
                </c:pt>
                <c:pt idx="303">
                  <c:v>6534</c:v>
                </c:pt>
                <c:pt idx="304">
                  <c:v>5804</c:v>
                </c:pt>
                <c:pt idx="305">
                  <c:v>6301</c:v>
                </c:pt>
                <c:pt idx="306">
                  <c:v>6399</c:v>
                </c:pt>
                <c:pt idx="307">
                  <c:v>5759</c:v>
                </c:pt>
                <c:pt idx="308">
                  <c:v>5285</c:v>
                </c:pt>
                <c:pt idx="309">
                  <c:v>5434</c:v>
                </c:pt>
                <c:pt idx="310">
                  <c:v>7479</c:v>
                </c:pt>
                <c:pt idx="311">
                  <c:v>6164</c:v>
                </c:pt>
                <c:pt idx="312">
                  <c:v>7973</c:v>
                </c:pt>
                <c:pt idx="313">
                  <c:v>6000</c:v>
                </c:pt>
                <c:pt idx="314">
                  <c:v>9967</c:v>
                </c:pt>
                <c:pt idx="315">
                  <c:v>5639</c:v>
                </c:pt>
                <c:pt idx="316">
                  <c:v>3466</c:v>
                </c:pt>
                <c:pt idx="317">
                  <c:v>7775</c:v>
                </c:pt>
                <c:pt idx="318">
                  <c:v>5317</c:v>
                </c:pt>
              </c:numCache>
            </c:numRef>
          </c:xVal>
          <c:yVal>
            <c:numRef>
              <c:f>store_performance!$M$3:$M$321</c:f>
              <c:numCache>
                <c:formatCode>General</c:formatCode>
                <c:ptCount val="319"/>
                <c:pt idx="0">
                  <c:v>634436</c:v>
                </c:pt>
                <c:pt idx="1">
                  <c:v>678722.06</c:v>
                </c:pt>
                <c:pt idx="2">
                  <c:v>658920.30000000005</c:v>
                </c:pt>
                <c:pt idx="3">
                  <c:v>741341.44</c:v>
                </c:pt>
                <c:pt idx="4">
                  <c:v>761835.34</c:v>
                </c:pt>
                <c:pt idx="5">
                  <c:v>806615.54</c:v>
                </c:pt>
                <c:pt idx="6">
                  <c:v>850164.26</c:v>
                </c:pt>
                <c:pt idx="7">
                  <c:v>930581.7</c:v>
                </c:pt>
                <c:pt idx="8">
                  <c:v>779010.94</c:v>
                </c:pt>
                <c:pt idx="9">
                  <c:v>723060.76</c:v>
                </c:pt>
                <c:pt idx="10">
                  <c:v>910791.94</c:v>
                </c:pt>
                <c:pt idx="11">
                  <c:v>922168.6</c:v>
                </c:pt>
                <c:pt idx="12">
                  <c:v>726606.28</c:v>
                </c:pt>
                <c:pt idx="13">
                  <c:v>746501.09</c:v>
                </c:pt>
                <c:pt idx="14">
                  <c:v>834017.02</c:v>
                </c:pt>
                <c:pt idx="15">
                  <c:v>666152.52</c:v>
                </c:pt>
                <c:pt idx="16">
                  <c:v>573155.18999999994</c:v>
                </c:pt>
                <c:pt idx="17">
                  <c:v>666573.19999999995</c:v>
                </c:pt>
                <c:pt idx="18">
                  <c:v>591619.94999999995</c:v>
                </c:pt>
                <c:pt idx="19">
                  <c:v>415721.82</c:v>
                </c:pt>
                <c:pt idx="20">
                  <c:v>491905.13</c:v>
                </c:pt>
                <c:pt idx="21">
                  <c:v>555929.4</c:v>
                </c:pt>
                <c:pt idx="22">
                  <c:v>565810.99</c:v>
                </c:pt>
                <c:pt idx="23">
                  <c:v>811771.14</c:v>
                </c:pt>
                <c:pt idx="24">
                  <c:v>800451.94</c:v>
                </c:pt>
                <c:pt idx="25">
                  <c:v>783672.82</c:v>
                </c:pt>
                <c:pt idx="26">
                  <c:v>701641.97</c:v>
                </c:pt>
                <c:pt idx="27">
                  <c:v>511844.41</c:v>
                </c:pt>
                <c:pt idx="28">
                  <c:v>537383.79</c:v>
                </c:pt>
                <c:pt idx="29">
                  <c:v>500173.02</c:v>
                </c:pt>
                <c:pt idx="30">
                  <c:v>427917.38</c:v>
                </c:pt>
                <c:pt idx="31">
                  <c:v>641865.03</c:v>
                </c:pt>
                <c:pt idx="32">
                  <c:v>799477.76000000001</c:v>
                </c:pt>
                <c:pt idx="33">
                  <c:v>798952.17</c:v>
                </c:pt>
                <c:pt idx="34">
                  <c:v>800979.78</c:v>
                </c:pt>
                <c:pt idx="35">
                  <c:v>820593.93</c:v>
                </c:pt>
                <c:pt idx="36">
                  <c:v>718330.53</c:v>
                </c:pt>
                <c:pt idx="37">
                  <c:v>736633.4</c:v>
                </c:pt>
                <c:pt idx="38">
                  <c:v>828623.85</c:v>
                </c:pt>
                <c:pt idx="39">
                  <c:v>592195.85</c:v>
                </c:pt>
                <c:pt idx="40">
                  <c:v>532644.46</c:v>
                </c:pt>
                <c:pt idx="41">
                  <c:v>657429.18000000005</c:v>
                </c:pt>
                <c:pt idx="42">
                  <c:v>605178</c:v>
                </c:pt>
                <c:pt idx="43">
                  <c:v>595467.6</c:v>
                </c:pt>
                <c:pt idx="44">
                  <c:v>599603.4</c:v>
                </c:pt>
                <c:pt idx="45">
                  <c:v>614800.09</c:v>
                </c:pt>
                <c:pt idx="46">
                  <c:v>585365.73</c:v>
                </c:pt>
                <c:pt idx="47">
                  <c:v>622811.74</c:v>
                </c:pt>
                <c:pt idx="48">
                  <c:v>603297.56999999995</c:v>
                </c:pt>
                <c:pt idx="49">
                  <c:v>625672.86</c:v>
                </c:pt>
                <c:pt idx="50">
                  <c:v>773815.14</c:v>
                </c:pt>
                <c:pt idx="51">
                  <c:v>463534.25</c:v>
                </c:pt>
                <c:pt idx="52">
                  <c:v>746677.75</c:v>
                </c:pt>
                <c:pt idx="53">
                  <c:v>720852.5</c:v>
                </c:pt>
                <c:pt idx="54">
                  <c:v>487464.91</c:v>
                </c:pt>
                <c:pt idx="55">
                  <c:v>518049.26</c:v>
                </c:pt>
                <c:pt idx="56">
                  <c:v>500298.48</c:v>
                </c:pt>
                <c:pt idx="57">
                  <c:v>617291.15</c:v>
                </c:pt>
                <c:pt idx="58">
                  <c:v>553756.43000000005</c:v>
                </c:pt>
                <c:pt idx="59">
                  <c:v>749559.71</c:v>
                </c:pt>
                <c:pt idx="60">
                  <c:v>615966.48</c:v>
                </c:pt>
                <c:pt idx="61">
                  <c:v>572011.19999999995</c:v>
                </c:pt>
                <c:pt idx="62">
                  <c:v>761860.19</c:v>
                </c:pt>
                <c:pt idx="63">
                  <c:v>784502.68</c:v>
                </c:pt>
                <c:pt idx="64">
                  <c:v>717141.55</c:v>
                </c:pt>
                <c:pt idx="65">
                  <c:v>685379.08</c:v>
                </c:pt>
                <c:pt idx="66">
                  <c:v>740496.65</c:v>
                </c:pt>
                <c:pt idx="67">
                  <c:v>661927.14</c:v>
                </c:pt>
                <c:pt idx="68">
                  <c:v>479050.5</c:v>
                </c:pt>
                <c:pt idx="69">
                  <c:v>605023.87</c:v>
                </c:pt>
                <c:pt idx="70">
                  <c:v>674774.09</c:v>
                </c:pt>
                <c:pt idx="71">
                  <c:v>616069.41</c:v>
                </c:pt>
                <c:pt idx="72">
                  <c:v>630829.93999999994</c:v>
                </c:pt>
                <c:pt idx="73">
                  <c:v>788087.68</c:v>
                </c:pt>
                <c:pt idx="74">
                  <c:v>680840.36</c:v>
                </c:pt>
                <c:pt idx="75">
                  <c:v>643657.47</c:v>
                </c:pt>
                <c:pt idx="76">
                  <c:v>691112.6</c:v>
                </c:pt>
                <c:pt idx="77">
                  <c:v>776922.17</c:v>
                </c:pt>
                <c:pt idx="78">
                  <c:v>636561.34</c:v>
                </c:pt>
                <c:pt idx="79">
                  <c:v>621369.57999999996</c:v>
                </c:pt>
                <c:pt idx="80">
                  <c:v>682208.01</c:v>
                </c:pt>
                <c:pt idx="81">
                  <c:v>727241.86</c:v>
                </c:pt>
                <c:pt idx="82">
                  <c:v>569100.78</c:v>
                </c:pt>
                <c:pt idx="83">
                  <c:v>574436.29</c:v>
                </c:pt>
                <c:pt idx="84">
                  <c:v>611766.72</c:v>
                </c:pt>
                <c:pt idx="85">
                  <c:v>614596.31999999995</c:v>
                </c:pt>
                <c:pt idx="86">
                  <c:v>450711.92</c:v>
                </c:pt>
                <c:pt idx="87">
                  <c:v>711213.46</c:v>
                </c:pt>
                <c:pt idx="88">
                  <c:v>627171.9</c:v>
                </c:pt>
                <c:pt idx="89">
                  <c:v>739852.58</c:v>
                </c:pt>
                <c:pt idx="90">
                  <c:v>586307.22</c:v>
                </c:pt>
                <c:pt idx="91">
                  <c:v>585937.48</c:v>
                </c:pt>
                <c:pt idx="92">
                  <c:v>753473.55</c:v>
                </c:pt>
                <c:pt idx="93">
                  <c:v>838250.32</c:v>
                </c:pt>
                <c:pt idx="94">
                  <c:v>607898.12</c:v>
                </c:pt>
                <c:pt idx="95">
                  <c:v>691113.62</c:v>
                </c:pt>
                <c:pt idx="96">
                  <c:v>735509.4</c:v>
                </c:pt>
                <c:pt idx="97">
                  <c:v>605775.32999999996</c:v>
                </c:pt>
                <c:pt idx="98">
                  <c:v>675177.68</c:v>
                </c:pt>
                <c:pt idx="99">
                  <c:v>635181.35</c:v>
                </c:pt>
                <c:pt idx="100">
                  <c:v>586626.93999999994</c:v>
                </c:pt>
                <c:pt idx="101">
                  <c:v>740102.64</c:v>
                </c:pt>
                <c:pt idx="102">
                  <c:v>625514.04</c:v>
                </c:pt>
                <c:pt idx="103">
                  <c:v>727227.2</c:v>
                </c:pt>
                <c:pt idx="104">
                  <c:v>783797.89</c:v>
                </c:pt>
                <c:pt idx="105">
                  <c:v>795153.84</c:v>
                </c:pt>
                <c:pt idx="106">
                  <c:v>665594.93999999994</c:v>
                </c:pt>
                <c:pt idx="107">
                  <c:v>709478.39</c:v>
                </c:pt>
                <c:pt idx="108">
                  <c:v>664162.49</c:v>
                </c:pt>
                <c:pt idx="109">
                  <c:v>633494.21</c:v>
                </c:pt>
                <c:pt idx="110">
                  <c:v>713611.16</c:v>
                </c:pt>
                <c:pt idx="111">
                  <c:v>778397.97</c:v>
                </c:pt>
                <c:pt idx="112">
                  <c:v>873380.02</c:v>
                </c:pt>
                <c:pt idx="113">
                  <c:v>697287.9</c:v>
                </c:pt>
                <c:pt idx="114">
                  <c:v>718074.79</c:v>
                </c:pt>
                <c:pt idx="115">
                  <c:v>714942.43</c:v>
                </c:pt>
                <c:pt idx="116">
                  <c:v>820519.04</c:v>
                </c:pt>
                <c:pt idx="117">
                  <c:v>684217.32</c:v>
                </c:pt>
                <c:pt idx="118">
                  <c:v>735480.19</c:v>
                </c:pt>
                <c:pt idx="119">
                  <c:v>509484.81</c:v>
                </c:pt>
                <c:pt idx="120">
                  <c:v>654317.09</c:v>
                </c:pt>
                <c:pt idx="121">
                  <c:v>557487.26</c:v>
                </c:pt>
                <c:pt idx="122">
                  <c:v>441275.42</c:v>
                </c:pt>
                <c:pt idx="123">
                  <c:v>914544.17</c:v>
                </c:pt>
                <c:pt idx="124">
                  <c:v>842439.67</c:v>
                </c:pt>
                <c:pt idx="125">
                  <c:v>842157.92</c:v>
                </c:pt>
                <c:pt idx="126">
                  <c:v>697155.3</c:v>
                </c:pt>
                <c:pt idx="127">
                  <c:v>849018.3</c:v>
                </c:pt>
                <c:pt idx="128">
                  <c:v>801830.35</c:v>
                </c:pt>
                <c:pt idx="129">
                  <c:v>725235.28</c:v>
                </c:pt>
                <c:pt idx="130">
                  <c:v>811452.72</c:v>
                </c:pt>
                <c:pt idx="131">
                  <c:v>527300.13</c:v>
                </c:pt>
                <c:pt idx="132">
                  <c:v>400831.65</c:v>
                </c:pt>
                <c:pt idx="133">
                  <c:v>593247.25</c:v>
                </c:pt>
                <c:pt idx="134">
                  <c:v>529075.94999999995</c:v>
                </c:pt>
                <c:pt idx="135">
                  <c:v>633638.03</c:v>
                </c:pt>
                <c:pt idx="136">
                  <c:v>743348.84</c:v>
                </c:pt>
                <c:pt idx="137">
                  <c:v>758827.64</c:v>
                </c:pt>
                <c:pt idx="138">
                  <c:v>646559.71</c:v>
                </c:pt>
                <c:pt idx="139">
                  <c:v>715890.53</c:v>
                </c:pt>
                <c:pt idx="140">
                  <c:v>715097.57</c:v>
                </c:pt>
                <c:pt idx="141">
                  <c:v>682639.28</c:v>
                </c:pt>
                <c:pt idx="142">
                  <c:v>695098.51</c:v>
                </c:pt>
                <c:pt idx="143">
                  <c:v>577732.56999999995</c:v>
                </c:pt>
                <c:pt idx="144">
                  <c:v>537058.32999999996</c:v>
                </c:pt>
                <c:pt idx="145">
                  <c:v>601568.87</c:v>
                </c:pt>
                <c:pt idx="146">
                  <c:v>570964.84</c:v>
                </c:pt>
                <c:pt idx="147">
                  <c:v>614024.91</c:v>
                </c:pt>
                <c:pt idx="148">
                  <c:v>712868.35</c:v>
                </c:pt>
                <c:pt idx="149">
                  <c:v>696744.15</c:v>
                </c:pt>
                <c:pt idx="150">
                  <c:v>725847.99</c:v>
                </c:pt>
                <c:pt idx="151">
                  <c:v>785028.25</c:v>
                </c:pt>
                <c:pt idx="152">
                  <c:v>698492.67</c:v>
                </c:pt>
                <c:pt idx="153">
                  <c:v>685830.24</c:v>
                </c:pt>
                <c:pt idx="154">
                  <c:v>702318.94</c:v>
                </c:pt>
                <c:pt idx="155">
                  <c:v>700078.32</c:v>
                </c:pt>
                <c:pt idx="156">
                  <c:v>602002.31999999995</c:v>
                </c:pt>
                <c:pt idx="157">
                  <c:v>724216.07</c:v>
                </c:pt>
                <c:pt idx="158">
                  <c:v>620973.03</c:v>
                </c:pt>
                <c:pt idx="159">
                  <c:v>650480.06000000006</c:v>
                </c:pt>
                <c:pt idx="160">
                  <c:v>778298.88</c:v>
                </c:pt>
                <c:pt idx="161">
                  <c:v>677096.71</c:v>
                </c:pt>
                <c:pt idx="162">
                  <c:v>692008.64</c:v>
                </c:pt>
                <c:pt idx="163">
                  <c:v>825797.91</c:v>
                </c:pt>
                <c:pt idx="164">
                  <c:v>706285.52</c:v>
                </c:pt>
                <c:pt idx="165">
                  <c:v>665534.69999999995</c:v>
                </c:pt>
                <c:pt idx="166">
                  <c:v>820729.29</c:v>
                </c:pt>
                <c:pt idx="167">
                  <c:v>739831.73</c:v>
                </c:pt>
                <c:pt idx="168">
                  <c:v>593637.14</c:v>
                </c:pt>
                <c:pt idx="169">
                  <c:v>769702.76</c:v>
                </c:pt>
                <c:pt idx="170">
                  <c:v>679731.57</c:v>
                </c:pt>
                <c:pt idx="171">
                  <c:v>780344.18</c:v>
                </c:pt>
                <c:pt idx="172">
                  <c:v>721364.11</c:v>
                </c:pt>
                <c:pt idx="173">
                  <c:v>758138.29</c:v>
                </c:pt>
                <c:pt idx="174">
                  <c:v>804264</c:v>
                </c:pt>
                <c:pt idx="175">
                  <c:v>887537.75</c:v>
                </c:pt>
                <c:pt idx="176">
                  <c:v>783582</c:v>
                </c:pt>
                <c:pt idx="177">
                  <c:v>781955.52</c:v>
                </c:pt>
                <c:pt idx="178">
                  <c:v>898031.04</c:v>
                </c:pt>
                <c:pt idx="179">
                  <c:v>855341.28</c:v>
                </c:pt>
                <c:pt idx="180">
                  <c:v>751393.88</c:v>
                </c:pt>
                <c:pt idx="181">
                  <c:v>761077.08</c:v>
                </c:pt>
                <c:pt idx="182">
                  <c:v>819660.59</c:v>
                </c:pt>
                <c:pt idx="183">
                  <c:v>681855.56</c:v>
                </c:pt>
                <c:pt idx="184">
                  <c:v>678311.17</c:v>
                </c:pt>
                <c:pt idx="185">
                  <c:v>765906.95</c:v>
                </c:pt>
                <c:pt idx="186">
                  <c:v>712546.38</c:v>
                </c:pt>
                <c:pt idx="187">
                  <c:v>625993.82999999996</c:v>
                </c:pt>
                <c:pt idx="188">
                  <c:v>550962.93000000005</c:v>
                </c:pt>
                <c:pt idx="189">
                  <c:v>443275.59</c:v>
                </c:pt>
                <c:pt idx="190">
                  <c:v>554012.06999999995</c:v>
                </c:pt>
                <c:pt idx="191">
                  <c:v>643428.85</c:v>
                </c:pt>
                <c:pt idx="192">
                  <c:v>611924.27</c:v>
                </c:pt>
                <c:pt idx="193">
                  <c:v>559422.02</c:v>
                </c:pt>
                <c:pt idx="194">
                  <c:v>449465.06</c:v>
                </c:pt>
                <c:pt idx="195">
                  <c:v>691447.43</c:v>
                </c:pt>
                <c:pt idx="196">
                  <c:v>574066.61</c:v>
                </c:pt>
                <c:pt idx="197">
                  <c:v>578949.84</c:v>
                </c:pt>
                <c:pt idx="198">
                  <c:v>735786.64</c:v>
                </c:pt>
                <c:pt idx="199">
                  <c:v>598904.9</c:v>
                </c:pt>
                <c:pt idx="200">
                  <c:v>787715.51</c:v>
                </c:pt>
                <c:pt idx="201">
                  <c:v>607084.92000000004</c:v>
                </c:pt>
                <c:pt idx="202">
                  <c:v>650795.49</c:v>
                </c:pt>
                <c:pt idx="203">
                  <c:v>825060.52</c:v>
                </c:pt>
                <c:pt idx="204">
                  <c:v>795464.47</c:v>
                </c:pt>
                <c:pt idx="205">
                  <c:v>671868.59</c:v>
                </c:pt>
                <c:pt idx="206">
                  <c:v>675917.63</c:v>
                </c:pt>
                <c:pt idx="207">
                  <c:v>810446.53</c:v>
                </c:pt>
                <c:pt idx="208">
                  <c:v>691288.19</c:v>
                </c:pt>
                <c:pt idx="209">
                  <c:v>946833.54</c:v>
                </c:pt>
                <c:pt idx="210">
                  <c:v>761963.23</c:v>
                </c:pt>
                <c:pt idx="211">
                  <c:v>812152.6</c:v>
                </c:pt>
                <c:pt idx="212">
                  <c:v>804975.5</c:v>
                </c:pt>
                <c:pt idx="213">
                  <c:v>752321.72</c:v>
                </c:pt>
                <c:pt idx="214">
                  <c:v>836908.24</c:v>
                </c:pt>
                <c:pt idx="215">
                  <c:v>674289.1</c:v>
                </c:pt>
                <c:pt idx="216">
                  <c:v>622892.42000000004</c:v>
                </c:pt>
                <c:pt idx="217">
                  <c:v>673348.56</c:v>
                </c:pt>
                <c:pt idx="218">
                  <c:v>606278.30000000005</c:v>
                </c:pt>
                <c:pt idx="219">
                  <c:v>712219.81</c:v>
                </c:pt>
                <c:pt idx="220">
                  <c:v>672670.54</c:v>
                </c:pt>
                <c:pt idx="221">
                  <c:v>732667.92</c:v>
                </c:pt>
                <c:pt idx="222">
                  <c:v>723531.4</c:v>
                </c:pt>
                <c:pt idx="223">
                  <c:v>641564.6</c:v>
                </c:pt>
                <c:pt idx="224">
                  <c:v>536545.49</c:v>
                </c:pt>
                <c:pt idx="225">
                  <c:v>527681.56000000006</c:v>
                </c:pt>
                <c:pt idx="226">
                  <c:v>529598.93999999994</c:v>
                </c:pt>
                <c:pt idx="227">
                  <c:v>570963.31000000006</c:v>
                </c:pt>
                <c:pt idx="228">
                  <c:v>870937.4</c:v>
                </c:pt>
                <c:pt idx="229">
                  <c:v>596969.27</c:v>
                </c:pt>
                <c:pt idx="230">
                  <c:v>647512.85</c:v>
                </c:pt>
                <c:pt idx="231">
                  <c:v>658072.14</c:v>
                </c:pt>
                <c:pt idx="232">
                  <c:v>723305.11</c:v>
                </c:pt>
                <c:pt idx="233">
                  <c:v>640666.53</c:v>
                </c:pt>
                <c:pt idx="234">
                  <c:v>670629.48</c:v>
                </c:pt>
                <c:pt idx="235">
                  <c:v>721079.35</c:v>
                </c:pt>
                <c:pt idx="236">
                  <c:v>810355.02</c:v>
                </c:pt>
                <c:pt idx="237">
                  <c:v>761919.25</c:v>
                </c:pt>
                <c:pt idx="238">
                  <c:v>737070.18</c:v>
                </c:pt>
                <c:pt idx="239">
                  <c:v>776992.93</c:v>
                </c:pt>
                <c:pt idx="240">
                  <c:v>676337.41</c:v>
                </c:pt>
                <c:pt idx="241">
                  <c:v>828219.67</c:v>
                </c:pt>
                <c:pt idx="242">
                  <c:v>763159.92</c:v>
                </c:pt>
                <c:pt idx="243">
                  <c:v>802001.68</c:v>
                </c:pt>
                <c:pt idx="244">
                  <c:v>750471.34</c:v>
                </c:pt>
                <c:pt idx="245">
                  <c:v>679230.86</c:v>
                </c:pt>
                <c:pt idx="246">
                  <c:v>679888.74</c:v>
                </c:pt>
                <c:pt idx="247">
                  <c:v>606783.67000000004</c:v>
                </c:pt>
                <c:pt idx="248">
                  <c:v>642751.42000000004</c:v>
                </c:pt>
                <c:pt idx="249">
                  <c:v>647953.78</c:v>
                </c:pt>
                <c:pt idx="250">
                  <c:v>729440.45</c:v>
                </c:pt>
                <c:pt idx="251">
                  <c:v>764949</c:v>
                </c:pt>
                <c:pt idx="252">
                  <c:v>799046.94</c:v>
                </c:pt>
                <c:pt idx="253">
                  <c:v>720079.54</c:v>
                </c:pt>
                <c:pt idx="254">
                  <c:v>612390.14</c:v>
                </c:pt>
                <c:pt idx="255">
                  <c:v>840108.12</c:v>
                </c:pt>
                <c:pt idx="256">
                  <c:v>697888.09</c:v>
                </c:pt>
                <c:pt idx="257">
                  <c:v>746115.59</c:v>
                </c:pt>
                <c:pt idx="258">
                  <c:v>776110.32</c:v>
                </c:pt>
                <c:pt idx="259">
                  <c:v>528852.62</c:v>
                </c:pt>
                <c:pt idx="260">
                  <c:v>605751.32999999996</c:v>
                </c:pt>
                <c:pt idx="261">
                  <c:v>677640.65</c:v>
                </c:pt>
                <c:pt idx="262">
                  <c:v>636613.23</c:v>
                </c:pt>
                <c:pt idx="263">
                  <c:v>708985.19</c:v>
                </c:pt>
                <c:pt idx="264">
                  <c:v>767792.94</c:v>
                </c:pt>
                <c:pt idx="265">
                  <c:v>745580.51</c:v>
                </c:pt>
                <c:pt idx="266">
                  <c:v>762328.31</c:v>
                </c:pt>
                <c:pt idx="267">
                  <c:v>660633.99</c:v>
                </c:pt>
                <c:pt idx="268">
                  <c:v>739374.56</c:v>
                </c:pt>
                <c:pt idx="269">
                  <c:v>799756.46</c:v>
                </c:pt>
                <c:pt idx="270">
                  <c:v>593343</c:v>
                </c:pt>
                <c:pt idx="271">
                  <c:v>645039.97</c:v>
                </c:pt>
                <c:pt idx="272">
                  <c:v>561597.32999999996</c:v>
                </c:pt>
                <c:pt idx="273">
                  <c:v>635837.74</c:v>
                </c:pt>
                <c:pt idx="274">
                  <c:v>686737.87</c:v>
                </c:pt>
                <c:pt idx="275">
                  <c:v>673076.34</c:v>
                </c:pt>
                <c:pt idx="276">
                  <c:v>738548.42</c:v>
                </c:pt>
                <c:pt idx="277">
                  <c:v>756619.77</c:v>
                </c:pt>
                <c:pt idx="278">
                  <c:v>761122.42</c:v>
                </c:pt>
                <c:pt idx="279">
                  <c:v>524899.56999999995</c:v>
                </c:pt>
                <c:pt idx="280">
                  <c:v>555557.77</c:v>
                </c:pt>
                <c:pt idx="281">
                  <c:v>714083.68</c:v>
                </c:pt>
                <c:pt idx="282">
                  <c:v>497439.82</c:v>
                </c:pt>
                <c:pt idx="283">
                  <c:v>636775.66</c:v>
                </c:pt>
                <c:pt idx="284">
                  <c:v>633009.53</c:v>
                </c:pt>
                <c:pt idx="285">
                  <c:v>609949</c:v>
                </c:pt>
                <c:pt idx="286">
                  <c:v>548103.69999999995</c:v>
                </c:pt>
                <c:pt idx="287">
                  <c:v>729424.42</c:v>
                </c:pt>
                <c:pt idx="288">
                  <c:v>696261.49</c:v>
                </c:pt>
                <c:pt idx="289">
                  <c:v>813316.71</c:v>
                </c:pt>
                <c:pt idx="290">
                  <c:v>702068.92</c:v>
                </c:pt>
                <c:pt idx="291">
                  <c:v>546223.69999999995</c:v>
                </c:pt>
                <c:pt idx="292">
                  <c:v>533121.26</c:v>
                </c:pt>
                <c:pt idx="293">
                  <c:v>498970.32</c:v>
                </c:pt>
                <c:pt idx="294">
                  <c:v>487738.26</c:v>
                </c:pt>
                <c:pt idx="295">
                  <c:v>668459.37</c:v>
                </c:pt>
                <c:pt idx="296">
                  <c:v>763162.45</c:v>
                </c:pt>
                <c:pt idx="297">
                  <c:v>599017.32999999996</c:v>
                </c:pt>
                <c:pt idx="298">
                  <c:v>401582.58</c:v>
                </c:pt>
                <c:pt idx="299">
                  <c:v>703812.99</c:v>
                </c:pt>
                <c:pt idx="300">
                  <c:v>724346.73</c:v>
                </c:pt>
                <c:pt idx="301">
                  <c:v>730890.01</c:v>
                </c:pt>
                <c:pt idx="302">
                  <c:v>780580.95</c:v>
                </c:pt>
                <c:pt idx="303">
                  <c:v>727957.48</c:v>
                </c:pt>
                <c:pt idx="304">
                  <c:v>538376</c:v>
                </c:pt>
                <c:pt idx="305">
                  <c:v>665342.49</c:v>
                </c:pt>
                <c:pt idx="306">
                  <c:v>651164.18000000005</c:v>
                </c:pt>
                <c:pt idx="307">
                  <c:v>628538.30000000005</c:v>
                </c:pt>
                <c:pt idx="308">
                  <c:v>536524.84</c:v>
                </c:pt>
                <c:pt idx="309">
                  <c:v>621677.30000000005</c:v>
                </c:pt>
                <c:pt idx="310">
                  <c:v>771129.07</c:v>
                </c:pt>
                <c:pt idx="311">
                  <c:v>702052.47</c:v>
                </c:pt>
                <c:pt idx="312">
                  <c:v>688368.46</c:v>
                </c:pt>
                <c:pt idx="313">
                  <c:v>712375.77</c:v>
                </c:pt>
                <c:pt idx="314">
                  <c:v>844710.67</c:v>
                </c:pt>
                <c:pt idx="315">
                  <c:v>620264.19999999995</c:v>
                </c:pt>
                <c:pt idx="316">
                  <c:v>536845.42000000004</c:v>
                </c:pt>
                <c:pt idx="317">
                  <c:v>726776.22</c:v>
                </c:pt>
                <c:pt idx="318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1-4DD5-9CD7-DEF7EC640467}"/>
            </c:ext>
          </c:extLst>
        </c:ser>
        <c:ser>
          <c:idx val="1"/>
          <c:order val="1"/>
          <c:tx>
            <c:v>Predicted 658832.62</c:v>
          </c:tx>
          <c:spPr>
            <a:ln w="38100">
              <a:noFill/>
            </a:ln>
          </c:spPr>
          <c:xVal>
            <c:numRef>
              <c:f>store_performance!$F$3:$F$321</c:f>
              <c:numCache>
                <c:formatCode>General</c:formatCode>
                <c:ptCount val="319"/>
                <c:pt idx="0">
                  <c:v>8487</c:v>
                </c:pt>
                <c:pt idx="1">
                  <c:v>9113</c:v>
                </c:pt>
                <c:pt idx="2">
                  <c:v>9431</c:v>
                </c:pt>
                <c:pt idx="3">
                  <c:v>9545</c:v>
                </c:pt>
                <c:pt idx="4">
                  <c:v>9792</c:v>
                </c:pt>
                <c:pt idx="5">
                  <c:v>10616</c:v>
                </c:pt>
                <c:pt idx="6">
                  <c:v>8567</c:v>
                </c:pt>
                <c:pt idx="7">
                  <c:v>10979</c:v>
                </c:pt>
                <c:pt idx="8">
                  <c:v>9459</c:v>
                </c:pt>
                <c:pt idx="9">
                  <c:v>9172</c:v>
                </c:pt>
                <c:pt idx="10">
                  <c:v>11230</c:v>
                </c:pt>
                <c:pt idx="11">
                  <c:v>12775</c:v>
                </c:pt>
                <c:pt idx="12">
                  <c:v>10054</c:v>
                </c:pt>
                <c:pt idx="13">
                  <c:v>8895</c:v>
                </c:pt>
                <c:pt idx="14">
                  <c:v>10940</c:v>
                </c:pt>
                <c:pt idx="15">
                  <c:v>7057</c:v>
                </c:pt>
                <c:pt idx="16">
                  <c:v>4263</c:v>
                </c:pt>
                <c:pt idx="17">
                  <c:v>5538</c:v>
                </c:pt>
                <c:pt idx="18">
                  <c:v>4865</c:v>
                </c:pt>
                <c:pt idx="19">
                  <c:v>2822</c:v>
                </c:pt>
                <c:pt idx="20">
                  <c:v>2121</c:v>
                </c:pt>
                <c:pt idx="21">
                  <c:v>3364</c:v>
                </c:pt>
                <c:pt idx="22">
                  <c:v>2613</c:v>
                </c:pt>
                <c:pt idx="23">
                  <c:v>10218</c:v>
                </c:pt>
                <c:pt idx="24">
                  <c:v>8927</c:v>
                </c:pt>
                <c:pt idx="25">
                  <c:v>9315</c:v>
                </c:pt>
                <c:pt idx="26">
                  <c:v>7223</c:v>
                </c:pt>
                <c:pt idx="27">
                  <c:v>3988</c:v>
                </c:pt>
                <c:pt idx="28">
                  <c:v>2390</c:v>
                </c:pt>
                <c:pt idx="29">
                  <c:v>2471</c:v>
                </c:pt>
                <c:pt idx="30">
                  <c:v>971</c:v>
                </c:pt>
                <c:pt idx="31">
                  <c:v>9429</c:v>
                </c:pt>
                <c:pt idx="32">
                  <c:v>11695</c:v>
                </c:pt>
                <c:pt idx="33">
                  <c:v>9449</c:v>
                </c:pt>
                <c:pt idx="34">
                  <c:v>10453</c:v>
                </c:pt>
                <c:pt idx="35">
                  <c:v>8838</c:v>
                </c:pt>
                <c:pt idx="36">
                  <c:v>8156</c:v>
                </c:pt>
                <c:pt idx="37">
                  <c:v>7562</c:v>
                </c:pt>
                <c:pt idx="38">
                  <c:v>9598</c:v>
                </c:pt>
                <c:pt idx="39">
                  <c:v>3660</c:v>
                </c:pt>
                <c:pt idx="40">
                  <c:v>3227</c:v>
                </c:pt>
                <c:pt idx="41">
                  <c:v>3360</c:v>
                </c:pt>
                <c:pt idx="42">
                  <c:v>3642</c:v>
                </c:pt>
                <c:pt idx="43">
                  <c:v>5145</c:v>
                </c:pt>
                <c:pt idx="44">
                  <c:v>4460</c:v>
                </c:pt>
                <c:pt idx="45">
                  <c:v>3804</c:v>
                </c:pt>
                <c:pt idx="46">
                  <c:v>4074</c:v>
                </c:pt>
                <c:pt idx="47">
                  <c:v>5104</c:v>
                </c:pt>
                <c:pt idx="48">
                  <c:v>5559</c:v>
                </c:pt>
                <c:pt idx="49">
                  <c:v>5150</c:v>
                </c:pt>
                <c:pt idx="50">
                  <c:v>7189</c:v>
                </c:pt>
                <c:pt idx="51">
                  <c:v>3279</c:v>
                </c:pt>
                <c:pt idx="52">
                  <c:v>5887</c:v>
                </c:pt>
                <c:pt idx="53">
                  <c:v>5516</c:v>
                </c:pt>
                <c:pt idx="54">
                  <c:v>2863</c:v>
                </c:pt>
                <c:pt idx="55">
                  <c:v>2378</c:v>
                </c:pt>
                <c:pt idx="56">
                  <c:v>2515</c:v>
                </c:pt>
                <c:pt idx="57">
                  <c:v>4022</c:v>
                </c:pt>
                <c:pt idx="58">
                  <c:v>4377</c:v>
                </c:pt>
                <c:pt idx="59">
                  <c:v>5306</c:v>
                </c:pt>
                <c:pt idx="60">
                  <c:v>3928</c:v>
                </c:pt>
                <c:pt idx="61">
                  <c:v>3845</c:v>
                </c:pt>
                <c:pt idx="62">
                  <c:v>6620</c:v>
                </c:pt>
                <c:pt idx="63">
                  <c:v>9175</c:v>
                </c:pt>
                <c:pt idx="64">
                  <c:v>7940</c:v>
                </c:pt>
                <c:pt idx="65">
                  <c:v>9628</c:v>
                </c:pt>
                <c:pt idx="66">
                  <c:v>8296</c:v>
                </c:pt>
                <c:pt idx="67">
                  <c:v>3595</c:v>
                </c:pt>
                <c:pt idx="68">
                  <c:v>2834</c:v>
                </c:pt>
                <c:pt idx="69">
                  <c:v>3193</c:v>
                </c:pt>
                <c:pt idx="70">
                  <c:v>5485</c:v>
                </c:pt>
                <c:pt idx="71">
                  <c:v>5918</c:v>
                </c:pt>
                <c:pt idx="72">
                  <c:v>6821</c:v>
                </c:pt>
                <c:pt idx="73">
                  <c:v>6806</c:v>
                </c:pt>
                <c:pt idx="74">
                  <c:v>8252</c:v>
                </c:pt>
                <c:pt idx="75">
                  <c:v>6662</c:v>
                </c:pt>
                <c:pt idx="76">
                  <c:v>5962</c:v>
                </c:pt>
                <c:pt idx="77">
                  <c:v>7470</c:v>
                </c:pt>
                <c:pt idx="78">
                  <c:v>5974</c:v>
                </c:pt>
                <c:pt idx="79">
                  <c:v>5410</c:v>
                </c:pt>
                <c:pt idx="80">
                  <c:v>4451</c:v>
                </c:pt>
                <c:pt idx="81">
                  <c:v>4644</c:v>
                </c:pt>
                <c:pt idx="82">
                  <c:v>3559</c:v>
                </c:pt>
                <c:pt idx="83">
                  <c:v>3091</c:v>
                </c:pt>
                <c:pt idx="84">
                  <c:v>4004</c:v>
                </c:pt>
                <c:pt idx="85">
                  <c:v>3788</c:v>
                </c:pt>
                <c:pt idx="86">
                  <c:v>1260</c:v>
                </c:pt>
                <c:pt idx="87">
                  <c:v>7024</c:v>
                </c:pt>
                <c:pt idx="88">
                  <c:v>5400</c:v>
                </c:pt>
                <c:pt idx="89">
                  <c:v>5988</c:v>
                </c:pt>
                <c:pt idx="90">
                  <c:v>3701</c:v>
                </c:pt>
                <c:pt idx="91">
                  <c:v>4509</c:v>
                </c:pt>
                <c:pt idx="92">
                  <c:v>6477</c:v>
                </c:pt>
                <c:pt idx="93">
                  <c:v>7970</c:v>
                </c:pt>
                <c:pt idx="94">
                  <c:v>6057</c:v>
                </c:pt>
                <c:pt idx="95">
                  <c:v>6394</c:v>
                </c:pt>
                <c:pt idx="96">
                  <c:v>5150</c:v>
                </c:pt>
                <c:pt idx="97">
                  <c:v>4712</c:v>
                </c:pt>
                <c:pt idx="98">
                  <c:v>5281</c:v>
                </c:pt>
                <c:pt idx="99">
                  <c:v>3642</c:v>
                </c:pt>
                <c:pt idx="100">
                  <c:v>4373</c:v>
                </c:pt>
                <c:pt idx="101">
                  <c:v>6832</c:v>
                </c:pt>
                <c:pt idx="102">
                  <c:v>2414</c:v>
                </c:pt>
                <c:pt idx="103">
                  <c:v>7374</c:v>
                </c:pt>
                <c:pt idx="104">
                  <c:v>8739</c:v>
                </c:pt>
                <c:pt idx="105">
                  <c:v>6992</c:v>
                </c:pt>
                <c:pt idx="106">
                  <c:v>7107</c:v>
                </c:pt>
                <c:pt idx="107">
                  <c:v>6975</c:v>
                </c:pt>
                <c:pt idx="108">
                  <c:v>5493</c:v>
                </c:pt>
                <c:pt idx="109">
                  <c:v>5686</c:v>
                </c:pt>
                <c:pt idx="110">
                  <c:v>4063</c:v>
                </c:pt>
                <c:pt idx="111">
                  <c:v>8966</c:v>
                </c:pt>
                <c:pt idx="112">
                  <c:v>9489</c:v>
                </c:pt>
                <c:pt idx="113">
                  <c:v>9225</c:v>
                </c:pt>
                <c:pt idx="114">
                  <c:v>9249</c:v>
                </c:pt>
                <c:pt idx="115">
                  <c:v>7821</c:v>
                </c:pt>
                <c:pt idx="116">
                  <c:v>8434</c:v>
                </c:pt>
                <c:pt idx="117">
                  <c:v>8512</c:v>
                </c:pt>
                <c:pt idx="118">
                  <c:v>7816</c:v>
                </c:pt>
                <c:pt idx="119">
                  <c:v>3853</c:v>
                </c:pt>
                <c:pt idx="120">
                  <c:v>3694</c:v>
                </c:pt>
                <c:pt idx="121">
                  <c:v>4423</c:v>
                </c:pt>
                <c:pt idx="122">
                  <c:v>1906</c:v>
                </c:pt>
                <c:pt idx="123">
                  <c:v>10396</c:v>
                </c:pt>
                <c:pt idx="124">
                  <c:v>11076</c:v>
                </c:pt>
                <c:pt idx="125">
                  <c:v>9574</c:v>
                </c:pt>
                <c:pt idx="126">
                  <c:v>8221</c:v>
                </c:pt>
                <c:pt idx="127">
                  <c:v>10618</c:v>
                </c:pt>
                <c:pt idx="128">
                  <c:v>10596</c:v>
                </c:pt>
                <c:pt idx="129">
                  <c:v>9619</c:v>
                </c:pt>
                <c:pt idx="130">
                  <c:v>10836</c:v>
                </c:pt>
                <c:pt idx="131">
                  <c:v>3043</c:v>
                </c:pt>
                <c:pt idx="132">
                  <c:v>1814</c:v>
                </c:pt>
                <c:pt idx="133">
                  <c:v>3618</c:v>
                </c:pt>
                <c:pt idx="134">
                  <c:v>1963</c:v>
                </c:pt>
                <c:pt idx="135">
                  <c:v>7888</c:v>
                </c:pt>
                <c:pt idx="136">
                  <c:v>6244</c:v>
                </c:pt>
                <c:pt idx="137">
                  <c:v>6544</c:v>
                </c:pt>
                <c:pt idx="138">
                  <c:v>5465</c:v>
                </c:pt>
                <c:pt idx="139">
                  <c:v>6427</c:v>
                </c:pt>
                <c:pt idx="140">
                  <c:v>6704</c:v>
                </c:pt>
                <c:pt idx="141">
                  <c:v>5645</c:v>
                </c:pt>
                <c:pt idx="142">
                  <c:v>6089</c:v>
                </c:pt>
                <c:pt idx="143">
                  <c:v>4312</c:v>
                </c:pt>
                <c:pt idx="144">
                  <c:v>3152</c:v>
                </c:pt>
                <c:pt idx="145">
                  <c:v>4259</c:v>
                </c:pt>
                <c:pt idx="146">
                  <c:v>3350</c:v>
                </c:pt>
                <c:pt idx="147">
                  <c:v>5329</c:v>
                </c:pt>
                <c:pt idx="148">
                  <c:v>6551</c:v>
                </c:pt>
                <c:pt idx="149">
                  <c:v>5550</c:v>
                </c:pt>
                <c:pt idx="150">
                  <c:v>5911</c:v>
                </c:pt>
                <c:pt idx="151">
                  <c:v>9674</c:v>
                </c:pt>
                <c:pt idx="152">
                  <c:v>6740</c:v>
                </c:pt>
                <c:pt idx="153">
                  <c:v>7745</c:v>
                </c:pt>
                <c:pt idx="154">
                  <c:v>7693</c:v>
                </c:pt>
                <c:pt idx="155">
                  <c:v>6424</c:v>
                </c:pt>
                <c:pt idx="156">
                  <c:v>5400</c:v>
                </c:pt>
                <c:pt idx="157">
                  <c:v>7015</c:v>
                </c:pt>
                <c:pt idx="158">
                  <c:v>3847</c:v>
                </c:pt>
                <c:pt idx="159">
                  <c:v>7455</c:v>
                </c:pt>
                <c:pt idx="160">
                  <c:v>6992</c:v>
                </c:pt>
                <c:pt idx="161">
                  <c:v>8038</c:v>
                </c:pt>
                <c:pt idx="162">
                  <c:v>6055</c:v>
                </c:pt>
                <c:pt idx="163">
                  <c:v>9323</c:v>
                </c:pt>
                <c:pt idx="164">
                  <c:v>8789</c:v>
                </c:pt>
                <c:pt idx="165">
                  <c:v>6939</c:v>
                </c:pt>
                <c:pt idx="166">
                  <c:v>9440</c:v>
                </c:pt>
                <c:pt idx="167">
                  <c:v>9374</c:v>
                </c:pt>
                <c:pt idx="168">
                  <c:v>7576</c:v>
                </c:pt>
                <c:pt idx="169">
                  <c:v>8949</c:v>
                </c:pt>
                <c:pt idx="170">
                  <c:v>7671</c:v>
                </c:pt>
                <c:pt idx="171">
                  <c:v>8741</c:v>
                </c:pt>
                <c:pt idx="172">
                  <c:v>9480</c:v>
                </c:pt>
                <c:pt idx="173">
                  <c:v>9826</c:v>
                </c:pt>
                <c:pt idx="174">
                  <c:v>10402</c:v>
                </c:pt>
                <c:pt idx="175">
                  <c:v>12361</c:v>
                </c:pt>
                <c:pt idx="176">
                  <c:v>7925</c:v>
                </c:pt>
                <c:pt idx="177">
                  <c:v>8870</c:v>
                </c:pt>
                <c:pt idx="178">
                  <c:v>9999</c:v>
                </c:pt>
                <c:pt idx="179">
                  <c:v>11154</c:v>
                </c:pt>
                <c:pt idx="180">
                  <c:v>9287</c:v>
                </c:pt>
                <c:pt idx="181">
                  <c:v>9812</c:v>
                </c:pt>
                <c:pt idx="182">
                  <c:v>10741</c:v>
                </c:pt>
                <c:pt idx="183">
                  <c:v>6084</c:v>
                </c:pt>
                <c:pt idx="184">
                  <c:v>5252</c:v>
                </c:pt>
                <c:pt idx="185">
                  <c:v>6516</c:v>
                </c:pt>
                <c:pt idx="186">
                  <c:v>7932</c:v>
                </c:pt>
                <c:pt idx="187">
                  <c:v>3506</c:v>
                </c:pt>
                <c:pt idx="188">
                  <c:v>2312</c:v>
                </c:pt>
                <c:pt idx="189">
                  <c:v>1268</c:v>
                </c:pt>
                <c:pt idx="190">
                  <c:v>4423</c:v>
                </c:pt>
                <c:pt idx="191">
                  <c:v>6177</c:v>
                </c:pt>
                <c:pt idx="192">
                  <c:v>5150</c:v>
                </c:pt>
                <c:pt idx="193">
                  <c:v>3783</c:v>
                </c:pt>
                <c:pt idx="194">
                  <c:v>3135</c:v>
                </c:pt>
                <c:pt idx="195">
                  <c:v>4970</c:v>
                </c:pt>
                <c:pt idx="196">
                  <c:v>4366</c:v>
                </c:pt>
                <c:pt idx="197">
                  <c:v>5012</c:v>
                </c:pt>
                <c:pt idx="198">
                  <c:v>5575</c:v>
                </c:pt>
                <c:pt idx="199">
                  <c:v>5955</c:v>
                </c:pt>
                <c:pt idx="200">
                  <c:v>6389</c:v>
                </c:pt>
                <c:pt idx="201">
                  <c:v>6896</c:v>
                </c:pt>
                <c:pt idx="202">
                  <c:v>6015</c:v>
                </c:pt>
                <c:pt idx="203">
                  <c:v>9476</c:v>
                </c:pt>
                <c:pt idx="204">
                  <c:v>7875</c:v>
                </c:pt>
                <c:pt idx="205">
                  <c:v>9283</c:v>
                </c:pt>
                <c:pt idx="206">
                  <c:v>8303</c:v>
                </c:pt>
                <c:pt idx="207">
                  <c:v>10125</c:v>
                </c:pt>
                <c:pt idx="208">
                  <c:v>9458</c:v>
                </c:pt>
                <c:pt idx="209">
                  <c:v>12870</c:v>
                </c:pt>
                <c:pt idx="210">
                  <c:v>9752</c:v>
                </c:pt>
                <c:pt idx="211">
                  <c:v>9505</c:v>
                </c:pt>
                <c:pt idx="212">
                  <c:v>9412</c:v>
                </c:pt>
                <c:pt idx="213">
                  <c:v>9644</c:v>
                </c:pt>
                <c:pt idx="214">
                  <c:v>11224</c:v>
                </c:pt>
                <c:pt idx="215">
                  <c:v>5394</c:v>
                </c:pt>
                <c:pt idx="216">
                  <c:v>5014</c:v>
                </c:pt>
                <c:pt idx="217">
                  <c:v>4467</c:v>
                </c:pt>
                <c:pt idx="218">
                  <c:v>4678</c:v>
                </c:pt>
                <c:pt idx="219">
                  <c:v>7291</c:v>
                </c:pt>
                <c:pt idx="220">
                  <c:v>7404</c:v>
                </c:pt>
                <c:pt idx="221">
                  <c:v>7880</c:v>
                </c:pt>
                <c:pt idx="222">
                  <c:v>8773</c:v>
                </c:pt>
                <c:pt idx="223">
                  <c:v>4713</c:v>
                </c:pt>
                <c:pt idx="224">
                  <c:v>2842</c:v>
                </c:pt>
                <c:pt idx="225">
                  <c:v>3872</c:v>
                </c:pt>
                <c:pt idx="226">
                  <c:v>1375</c:v>
                </c:pt>
                <c:pt idx="227">
                  <c:v>5957</c:v>
                </c:pt>
                <c:pt idx="228">
                  <c:v>8961</c:v>
                </c:pt>
                <c:pt idx="229">
                  <c:v>6545</c:v>
                </c:pt>
                <c:pt idx="230">
                  <c:v>5457</c:v>
                </c:pt>
                <c:pt idx="231">
                  <c:v>4264</c:v>
                </c:pt>
                <c:pt idx="232">
                  <c:v>5321</c:v>
                </c:pt>
                <c:pt idx="233">
                  <c:v>5479</c:v>
                </c:pt>
                <c:pt idx="234">
                  <c:v>6169</c:v>
                </c:pt>
                <c:pt idx="235">
                  <c:v>9908</c:v>
                </c:pt>
                <c:pt idx="236">
                  <c:v>9996</c:v>
                </c:pt>
                <c:pt idx="237">
                  <c:v>9702</c:v>
                </c:pt>
                <c:pt idx="238">
                  <c:v>9314</c:v>
                </c:pt>
                <c:pt idx="239">
                  <c:v>8055</c:v>
                </c:pt>
                <c:pt idx="240">
                  <c:v>5648</c:v>
                </c:pt>
                <c:pt idx="241">
                  <c:v>10076</c:v>
                </c:pt>
                <c:pt idx="242">
                  <c:v>8004</c:v>
                </c:pt>
                <c:pt idx="243">
                  <c:v>8934</c:v>
                </c:pt>
                <c:pt idx="244">
                  <c:v>8733</c:v>
                </c:pt>
                <c:pt idx="245">
                  <c:v>7374</c:v>
                </c:pt>
                <c:pt idx="246">
                  <c:v>8119</c:v>
                </c:pt>
                <c:pt idx="247">
                  <c:v>3875</c:v>
                </c:pt>
                <c:pt idx="248">
                  <c:v>5765</c:v>
                </c:pt>
                <c:pt idx="249">
                  <c:v>6322</c:v>
                </c:pt>
                <c:pt idx="250">
                  <c:v>6840</c:v>
                </c:pt>
                <c:pt idx="251">
                  <c:v>6782</c:v>
                </c:pt>
                <c:pt idx="252">
                  <c:v>6856</c:v>
                </c:pt>
                <c:pt idx="253">
                  <c:v>5641</c:v>
                </c:pt>
                <c:pt idx="254">
                  <c:v>5787</c:v>
                </c:pt>
                <c:pt idx="255">
                  <c:v>8165</c:v>
                </c:pt>
                <c:pt idx="256">
                  <c:v>7574</c:v>
                </c:pt>
                <c:pt idx="257">
                  <c:v>8634</c:v>
                </c:pt>
                <c:pt idx="258">
                  <c:v>7836</c:v>
                </c:pt>
                <c:pt idx="259">
                  <c:v>3047</c:v>
                </c:pt>
                <c:pt idx="260">
                  <c:v>4783</c:v>
                </c:pt>
                <c:pt idx="261">
                  <c:v>4902</c:v>
                </c:pt>
                <c:pt idx="262">
                  <c:v>4022</c:v>
                </c:pt>
                <c:pt idx="263">
                  <c:v>7324</c:v>
                </c:pt>
                <c:pt idx="264">
                  <c:v>8129</c:v>
                </c:pt>
                <c:pt idx="265">
                  <c:v>7969</c:v>
                </c:pt>
                <c:pt idx="266">
                  <c:v>7240</c:v>
                </c:pt>
                <c:pt idx="267">
                  <c:v>8052</c:v>
                </c:pt>
                <c:pt idx="268">
                  <c:v>8018</c:v>
                </c:pt>
                <c:pt idx="269">
                  <c:v>10192</c:v>
                </c:pt>
                <c:pt idx="270">
                  <c:v>7446</c:v>
                </c:pt>
                <c:pt idx="271">
                  <c:v>5689</c:v>
                </c:pt>
                <c:pt idx="272">
                  <c:v>3326</c:v>
                </c:pt>
                <c:pt idx="273">
                  <c:v>5767</c:v>
                </c:pt>
                <c:pt idx="274">
                  <c:v>5893</c:v>
                </c:pt>
                <c:pt idx="275">
                  <c:v>8564</c:v>
                </c:pt>
                <c:pt idx="276">
                  <c:v>8001</c:v>
                </c:pt>
                <c:pt idx="277">
                  <c:v>9324</c:v>
                </c:pt>
                <c:pt idx="278">
                  <c:v>9109</c:v>
                </c:pt>
                <c:pt idx="279">
                  <c:v>4022</c:v>
                </c:pt>
                <c:pt idx="280">
                  <c:v>4355</c:v>
                </c:pt>
                <c:pt idx="281">
                  <c:v>5745</c:v>
                </c:pt>
                <c:pt idx="282">
                  <c:v>3027</c:v>
                </c:pt>
                <c:pt idx="283">
                  <c:v>5562</c:v>
                </c:pt>
                <c:pt idx="284">
                  <c:v>4487</c:v>
                </c:pt>
                <c:pt idx="285">
                  <c:v>4162</c:v>
                </c:pt>
                <c:pt idx="286">
                  <c:v>4094</c:v>
                </c:pt>
                <c:pt idx="287">
                  <c:v>8484</c:v>
                </c:pt>
                <c:pt idx="288">
                  <c:v>7794</c:v>
                </c:pt>
                <c:pt idx="289">
                  <c:v>8300</c:v>
                </c:pt>
                <c:pt idx="290">
                  <c:v>7083</c:v>
                </c:pt>
                <c:pt idx="291">
                  <c:v>3834</c:v>
                </c:pt>
                <c:pt idx="292">
                  <c:v>2358</c:v>
                </c:pt>
                <c:pt idx="293">
                  <c:v>1231</c:v>
                </c:pt>
                <c:pt idx="294">
                  <c:v>1723</c:v>
                </c:pt>
                <c:pt idx="295">
                  <c:v>5896</c:v>
                </c:pt>
                <c:pt idx="296">
                  <c:v>5903</c:v>
                </c:pt>
                <c:pt idx="297">
                  <c:v>4898</c:v>
                </c:pt>
                <c:pt idx="298">
                  <c:v>1462</c:v>
                </c:pt>
                <c:pt idx="299">
                  <c:v>8252</c:v>
                </c:pt>
                <c:pt idx="300">
                  <c:v>7989</c:v>
                </c:pt>
                <c:pt idx="301">
                  <c:v>8268</c:v>
                </c:pt>
                <c:pt idx="302">
                  <c:v>8183</c:v>
                </c:pt>
                <c:pt idx="303">
                  <c:v>6534</c:v>
                </c:pt>
                <c:pt idx="304">
                  <c:v>5804</c:v>
                </c:pt>
                <c:pt idx="305">
                  <c:v>6301</c:v>
                </c:pt>
                <c:pt idx="306">
                  <c:v>6399</c:v>
                </c:pt>
                <c:pt idx="307">
                  <c:v>5759</c:v>
                </c:pt>
                <c:pt idx="308">
                  <c:v>5285</c:v>
                </c:pt>
                <c:pt idx="309">
                  <c:v>5434</c:v>
                </c:pt>
                <c:pt idx="310">
                  <c:v>7479</c:v>
                </c:pt>
                <c:pt idx="311">
                  <c:v>6164</c:v>
                </c:pt>
                <c:pt idx="312">
                  <c:v>7973</c:v>
                </c:pt>
                <c:pt idx="313">
                  <c:v>6000</c:v>
                </c:pt>
                <c:pt idx="314">
                  <c:v>9967</c:v>
                </c:pt>
                <c:pt idx="315">
                  <c:v>5639</c:v>
                </c:pt>
                <c:pt idx="316">
                  <c:v>3466</c:v>
                </c:pt>
                <c:pt idx="317">
                  <c:v>7775</c:v>
                </c:pt>
                <c:pt idx="318">
                  <c:v>5317</c:v>
                </c:pt>
              </c:numCache>
            </c:numRef>
          </c:xVal>
          <c:yVal>
            <c:numRef>
              <c:f>'regression output'!$B$25:$B$343</c:f>
              <c:numCache>
                <c:formatCode>General</c:formatCode>
                <c:ptCount val="319"/>
                <c:pt idx="0">
                  <c:v>749614.51124446839</c:v>
                </c:pt>
                <c:pt idx="1">
                  <c:v>771995.0251645582</c:v>
                </c:pt>
                <c:pt idx="2">
                  <c:v>783364.04022300639</c:v>
                </c:pt>
                <c:pt idx="3">
                  <c:v>787439.72486660094</c:v>
                </c:pt>
                <c:pt idx="4">
                  <c:v>796270.37492772262</c:v>
                </c:pt>
                <c:pt idx="5">
                  <c:v>825729.70954458206</c:v>
                </c:pt>
                <c:pt idx="6">
                  <c:v>752474.6408189208</c:v>
                </c:pt>
                <c:pt idx="7">
                  <c:v>838707.54748865962</c:v>
                </c:pt>
                <c:pt idx="8">
                  <c:v>784365.08557406464</c:v>
                </c:pt>
                <c:pt idx="9">
                  <c:v>774104.37072571693</c:v>
                </c:pt>
                <c:pt idx="10">
                  <c:v>847681.20402850397</c:v>
                </c:pt>
                <c:pt idx="11">
                  <c:v>902917.45643511531</c:v>
                </c:pt>
                <c:pt idx="12">
                  <c:v>805637.2992840542</c:v>
                </c:pt>
                <c:pt idx="13">
                  <c:v>764201.17207417544</c:v>
                </c:pt>
                <c:pt idx="14">
                  <c:v>837313.23432111414</c:v>
                </c:pt>
                <c:pt idx="15">
                  <c:v>698489.69510113238</c:v>
                </c:pt>
                <c:pt idx="16">
                  <c:v>598599.66971338342</c:v>
                </c:pt>
                <c:pt idx="17">
                  <c:v>644182.98480621807</c:v>
                </c:pt>
                <c:pt idx="18">
                  <c:v>620122.14476113743</c:v>
                </c:pt>
                <c:pt idx="19">
                  <c:v>547081.58575356018</c:v>
                </c:pt>
                <c:pt idx="20">
                  <c:v>522019.7003574213</c:v>
                </c:pt>
                <c:pt idx="21">
                  <c:v>566458.96362047491</c:v>
                </c:pt>
                <c:pt idx="22">
                  <c:v>539609.49724030332</c:v>
                </c:pt>
                <c:pt idx="23">
                  <c:v>811500.56491168158</c:v>
                </c:pt>
                <c:pt idx="24">
                  <c:v>765345.22390395647</c:v>
                </c:pt>
                <c:pt idx="25">
                  <c:v>779216.85234005051</c:v>
                </c:pt>
                <c:pt idx="26">
                  <c:v>704424.46396812098</c:v>
                </c:pt>
                <c:pt idx="27">
                  <c:v>588767.97430120339</c:v>
                </c:pt>
                <c:pt idx="28">
                  <c:v>531636.88605151733</c:v>
                </c:pt>
                <c:pt idx="29">
                  <c:v>534532.76724565041</c:v>
                </c:pt>
                <c:pt idx="30">
                  <c:v>480905.3377246685</c:v>
                </c:pt>
                <c:pt idx="31">
                  <c:v>783292.53698364506</c:v>
                </c:pt>
                <c:pt idx="32">
                  <c:v>864305.70718000841</c:v>
                </c:pt>
                <c:pt idx="33">
                  <c:v>784007.56937725819</c:v>
                </c:pt>
                <c:pt idx="34">
                  <c:v>819902.19553663535</c:v>
                </c:pt>
                <c:pt idx="35">
                  <c:v>762163.32975237817</c:v>
                </c:pt>
                <c:pt idx="36">
                  <c:v>737780.72513017175</c:v>
                </c:pt>
                <c:pt idx="37">
                  <c:v>716544.26303986297</c:v>
                </c:pt>
                <c:pt idx="38">
                  <c:v>789334.56070967577</c:v>
                </c:pt>
                <c:pt idx="39">
                  <c:v>577041.44304594863</c:v>
                </c:pt>
                <c:pt idx="40">
                  <c:v>561560.99172422523</c:v>
                </c:pt>
                <c:pt idx="41">
                  <c:v>566315.95714175235</c:v>
                </c:pt>
                <c:pt idx="42">
                  <c:v>576397.91389169695</c:v>
                </c:pt>
                <c:pt idx="43">
                  <c:v>630132.59827172081</c:v>
                </c:pt>
                <c:pt idx="44">
                  <c:v>605642.73879047239</c:v>
                </c:pt>
                <c:pt idx="45">
                  <c:v>582189.67627996299</c:v>
                </c:pt>
                <c:pt idx="46">
                  <c:v>591842.61359373969</c:v>
                </c:pt>
                <c:pt idx="47">
                  <c:v>628666.78186481399</c:v>
                </c:pt>
                <c:pt idx="48">
                  <c:v>644933.76881951175</c:v>
                </c:pt>
                <c:pt idx="49">
                  <c:v>630311.35637012403</c:v>
                </c:pt>
                <c:pt idx="50">
                  <c:v>703208.90889897873</c:v>
                </c:pt>
                <c:pt idx="51">
                  <c:v>563420.07594761928</c:v>
                </c:pt>
                <c:pt idx="52">
                  <c:v>656660.30007476651</c:v>
                </c:pt>
                <c:pt idx="53">
                  <c:v>643396.4491732436</c:v>
                </c:pt>
                <c:pt idx="54">
                  <c:v>548547.402160467</c:v>
                </c:pt>
                <c:pt idx="55">
                  <c:v>531207.86661534954</c:v>
                </c:pt>
                <c:pt idx="56">
                  <c:v>536105.83851159923</c:v>
                </c:pt>
                <c:pt idx="57">
                  <c:v>589983.52937034564</c:v>
                </c:pt>
                <c:pt idx="58">
                  <c:v>602675.35435697809</c:v>
                </c:pt>
                <c:pt idx="59">
                  <c:v>635888.60904030618</c:v>
                </c:pt>
                <c:pt idx="60">
                  <c:v>586622.87712036411</c:v>
                </c:pt>
                <c:pt idx="61">
                  <c:v>583655.49268686981</c:v>
                </c:pt>
                <c:pt idx="62">
                  <c:v>682866.23730068631</c:v>
                </c:pt>
                <c:pt idx="63">
                  <c:v>774211.62558475882</c:v>
                </c:pt>
                <c:pt idx="64">
                  <c:v>730058.37527915044</c:v>
                </c:pt>
                <c:pt idx="65">
                  <c:v>790407.10930009536</c:v>
                </c:pt>
                <c:pt idx="66">
                  <c:v>742785.95188546344</c:v>
                </c:pt>
                <c:pt idx="67">
                  <c:v>574717.58776670613</c:v>
                </c:pt>
                <c:pt idx="68">
                  <c:v>547510.60518972797</c:v>
                </c:pt>
                <c:pt idx="69">
                  <c:v>560345.43665508297</c:v>
                </c:pt>
                <c:pt idx="70">
                  <c:v>642288.14896314335</c:v>
                </c:pt>
                <c:pt idx="71">
                  <c:v>657768.60028486676</c:v>
                </c:pt>
                <c:pt idx="72">
                  <c:v>690052.31285649794</c:v>
                </c:pt>
                <c:pt idx="73">
                  <c:v>689516.03856128803</c:v>
                </c:pt>
                <c:pt idx="74">
                  <c:v>741212.88061951462</c:v>
                </c:pt>
                <c:pt idx="75">
                  <c:v>684367.80532727379</c:v>
                </c:pt>
                <c:pt idx="76">
                  <c:v>659341.67155081558</c:v>
                </c:pt>
                <c:pt idx="77">
                  <c:v>713255.11402924266</c:v>
                </c:pt>
                <c:pt idx="78">
                  <c:v>659770.69098698348</c:v>
                </c:pt>
                <c:pt idx="79">
                  <c:v>639606.77748709428</c:v>
                </c:pt>
                <c:pt idx="80">
                  <c:v>605320.97421334649</c:v>
                </c:pt>
                <c:pt idx="81">
                  <c:v>612221.03681171278</c:v>
                </c:pt>
                <c:pt idx="82">
                  <c:v>573430.52945820254</c:v>
                </c:pt>
                <c:pt idx="83">
                  <c:v>556698.77144765621</c:v>
                </c:pt>
                <c:pt idx="84">
                  <c:v>589340.00021609385</c:v>
                </c:pt>
                <c:pt idx="85">
                  <c:v>581617.65036507254</c:v>
                </c:pt>
                <c:pt idx="86">
                  <c:v>491237.55581237766</c:v>
                </c:pt>
                <c:pt idx="87">
                  <c:v>697309.8916516708</c:v>
                </c:pt>
                <c:pt idx="88">
                  <c:v>639249.26129028772</c:v>
                </c:pt>
                <c:pt idx="89">
                  <c:v>660271.2136625126</c:v>
                </c:pt>
                <c:pt idx="90">
                  <c:v>578507.25945285556</c:v>
                </c:pt>
                <c:pt idx="91">
                  <c:v>607394.56815482443</c:v>
                </c:pt>
                <c:pt idx="92">
                  <c:v>677753.75568635273</c:v>
                </c:pt>
                <c:pt idx="93">
                  <c:v>731130.92386957002</c:v>
                </c:pt>
                <c:pt idx="94">
                  <c:v>662738.07542047778</c:v>
                </c:pt>
                <c:pt idx="95">
                  <c:v>674786.37125285831</c:v>
                </c:pt>
                <c:pt idx="96">
                  <c:v>630311.35637012403</c:v>
                </c:pt>
                <c:pt idx="97">
                  <c:v>614652.1469499974</c:v>
                </c:pt>
                <c:pt idx="98">
                  <c:v>634994.81854828983</c:v>
                </c:pt>
                <c:pt idx="99">
                  <c:v>576397.91389169695</c:v>
                </c:pt>
                <c:pt idx="100">
                  <c:v>602532.34787825542</c:v>
                </c:pt>
                <c:pt idx="101">
                  <c:v>690445.58067298506</c:v>
                </c:pt>
                <c:pt idx="102">
                  <c:v>532494.92492385302</c:v>
                </c:pt>
                <c:pt idx="103">
                  <c:v>709822.9585398999</c:v>
                </c:pt>
                <c:pt idx="104">
                  <c:v>758623.91940399341</c:v>
                </c:pt>
                <c:pt idx="105">
                  <c:v>696165.83982188976</c:v>
                </c:pt>
                <c:pt idx="106">
                  <c:v>700277.2760851651</c:v>
                </c:pt>
                <c:pt idx="107">
                  <c:v>695558.06228731875</c:v>
                </c:pt>
                <c:pt idx="108">
                  <c:v>642574.16192058858</c:v>
                </c:pt>
                <c:pt idx="109">
                  <c:v>649474.22451895487</c:v>
                </c:pt>
                <c:pt idx="110">
                  <c:v>591449.34577725246</c:v>
                </c:pt>
                <c:pt idx="111">
                  <c:v>766739.53707150207</c:v>
                </c:pt>
                <c:pt idx="112">
                  <c:v>785437.63416448433</c:v>
                </c:pt>
                <c:pt idx="113">
                  <c:v>775999.20656879153</c:v>
                </c:pt>
                <c:pt idx="114">
                  <c:v>776857.24544112734</c:v>
                </c:pt>
                <c:pt idx="115">
                  <c:v>725803.93253715243</c:v>
                </c:pt>
                <c:pt idx="116">
                  <c:v>747719.67540139379</c:v>
                </c:pt>
                <c:pt idx="117">
                  <c:v>750508.30173648475</c:v>
                </c:pt>
                <c:pt idx="118">
                  <c:v>725625.17443874921</c:v>
                </c:pt>
                <c:pt idx="119">
                  <c:v>583941.50564431504</c:v>
                </c:pt>
                <c:pt idx="120">
                  <c:v>578256.99811509089</c:v>
                </c:pt>
                <c:pt idx="121">
                  <c:v>604319.92886228813</c:v>
                </c:pt>
                <c:pt idx="122">
                  <c:v>514333.10212608054</c:v>
                </c:pt>
                <c:pt idx="123">
                  <c:v>817864.35321483808</c:v>
                </c:pt>
                <c:pt idx="124">
                  <c:v>842175.45459768316</c:v>
                </c:pt>
                <c:pt idx="125">
                  <c:v>788476.52183733997</c:v>
                </c:pt>
                <c:pt idx="126">
                  <c:v>740104.58040941437</c:v>
                </c:pt>
                <c:pt idx="127">
                  <c:v>825801.2127839434</c:v>
                </c:pt>
                <c:pt idx="128">
                  <c:v>825014.67715096893</c:v>
                </c:pt>
                <c:pt idx="129">
                  <c:v>790085.34472296946</c:v>
                </c:pt>
                <c:pt idx="130">
                  <c:v>833595.06587432604</c:v>
                </c:pt>
                <c:pt idx="131">
                  <c:v>554982.69370298483</c:v>
                </c:pt>
                <c:pt idx="132">
                  <c:v>511043.95311546029</c:v>
                </c:pt>
                <c:pt idx="133">
                  <c:v>575539.87501936127</c:v>
                </c:pt>
                <c:pt idx="134">
                  <c:v>516370.94444787782</c:v>
                </c:pt>
                <c:pt idx="135">
                  <c:v>728199.29105575639</c:v>
                </c:pt>
                <c:pt idx="136">
                  <c:v>669423.62830076017</c:v>
                </c:pt>
                <c:pt idx="137">
                  <c:v>680149.11420495657</c:v>
                </c:pt>
                <c:pt idx="138">
                  <c:v>641573.11656953022</c:v>
                </c:pt>
                <c:pt idx="139">
                  <c:v>675966.17470232002</c:v>
                </c:pt>
                <c:pt idx="140">
                  <c:v>685869.37335386127</c:v>
                </c:pt>
                <c:pt idx="141">
                  <c:v>648008.40811204806</c:v>
                </c:pt>
                <c:pt idx="142">
                  <c:v>663882.12725025869</c:v>
                </c:pt>
                <c:pt idx="143">
                  <c:v>600351.49907773547</c:v>
                </c:pt>
                <c:pt idx="144">
                  <c:v>558879.62024817616</c:v>
                </c:pt>
                <c:pt idx="145">
                  <c:v>598456.66323466087</c:v>
                </c:pt>
                <c:pt idx="146">
                  <c:v>565958.44094494579</c:v>
                </c:pt>
                <c:pt idx="147">
                  <c:v>636710.8962929612</c:v>
                </c:pt>
                <c:pt idx="148">
                  <c:v>680399.37554272113</c:v>
                </c:pt>
                <c:pt idx="149">
                  <c:v>644612.00424238585</c:v>
                </c:pt>
                <c:pt idx="150">
                  <c:v>657518.33894710219</c:v>
                </c:pt>
                <c:pt idx="151">
                  <c:v>792051.6838054054</c:v>
                </c:pt>
                <c:pt idx="152">
                  <c:v>687156.43166236486</c:v>
                </c:pt>
                <c:pt idx="153">
                  <c:v>723086.80944142281</c:v>
                </c:pt>
                <c:pt idx="154">
                  <c:v>721227.72521802876</c:v>
                </c:pt>
                <c:pt idx="155">
                  <c:v>675858.91984327801</c:v>
                </c:pt>
                <c:pt idx="156">
                  <c:v>639249.26129028772</c:v>
                </c:pt>
                <c:pt idx="157">
                  <c:v>696988.1270745449</c:v>
                </c:pt>
                <c:pt idx="158">
                  <c:v>583726.99592623115</c:v>
                </c:pt>
                <c:pt idx="159">
                  <c:v>712718.83973403298</c:v>
                </c:pt>
                <c:pt idx="160">
                  <c:v>696165.83982188976</c:v>
                </c:pt>
                <c:pt idx="161">
                  <c:v>733562.03400785453</c:v>
                </c:pt>
                <c:pt idx="162">
                  <c:v>662666.57218111644</c:v>
                </c:pt>
                <c:pt idx="163">
                  <c:v>779502.86529749562</c:v>
                </c:pt>
                <c:pt idx="164">
                  <c:v>760411.50038802612</c:v>
                </c:pt>
                <c:pt idx="165">
                  <c:v>694271.00397881516</c:v>
                </c:pt>
                <c:pt idx="166">
                  <c:v>783685.80480013229</c:v>
                </c:pt>
                <c:pt idx="167">
                  <c:v>781326.19790120912</c:v>
                </c:pt>
                <c:pt idx="168">
                  <c:v>717044.78571539209</c:v>
                </c:pt>
                <c:pt idx="169">
                  <c:v>766131.75953693083</c:v>
                </c:pt>
                <c:pt idx="170">
                  <c:v>720441.18958505429</c:v>
                </c:pt>
                <c:pt idx="171">
                  <c:v>758695.42264335463</c:v>
                </c:pt>
                <c:pt idx="172">
                  <c:v>785115.86958735844</c:v>
                </c:pt>
                <c:pt idx="173">
                  <c:v>797485.92999686487</c:v>
                </c:pt>
                <c:pt idx="174">
                  <c:v>818078.86293292209</c:v>
                </c:pt>
                <c:pt idx="175">
                  <c:v>888116.28588732437</c:v>
                </c:pt>
                <c:pt idx="176">
                  <c:v>729522.10098394053</c:v>
                </c:pt>
                <c:pt idx="177">
                  <c:v>763307.38158215908</c:v>
                </c:pt>
                <c:pt idx="178">
                  <c:v>803670.96020161826</c:v>
                </c:pt>
                <c:pt idx="179">
                  <c:v>844964.08093277435</c:v>
                </c:pt>
                <c:pt idx="180">
                  <c:v>778215.80698899215</c:v>
                </c:pt>
                <c:pt idx="181">
                  <c:v>796985.40732133575</c:v>
                </c:pt>
                <c:pt idx="182">
                  <c:v>830198.66200466384</c:v>
                </c:pt>
                <c:pt idx="183">
                  <c:v>663703.36915185547</c:v>
                </c:pt>
                <c:pt idx="184">
                  <c:v>633958.0215775508</c:v>
                </c:pt>
                <c:pt idx="185">
                  <c:v>679148.06885389821</c:v>
                </c:pt>
                <c:pt idx="186">
                  <c:v>729772.36232170509</c:v>
                </c:pt>
                <c:pt idx="187">
                  <c:v>571535.69361512794</c:v>
                </c:pt>
                <c:pt idx="188">
                  <c:v>528848.25971642626</c:v>
                </c:pt>
                <c:pt idx="189">
                  <c:v>491523.56876982289</c:v>
                </c:pt>
                <c:pt idx="190">
                  <c:v>604319.92886228813</c:v>
                </c:pt>
                <c:pt idx="191">
                  <c:v>667028.26978215633</c:v>
                </c:pt>
                <c:pt idx="192">
                  <c:v>630311.35637012403</c:v>
                </c:pt>
                <c:pt idx="193">
                  <c:v>581438.89226666919</c:v>
                </c:pt>
                <c:pt idx="194">
                  <c:v>558271.84271360503</c:v>
                </c:pt>
                <c:pt idx="195">
                  <c:v>623876.0648276062</c:v>
                </c:pt>
                <c:pt idx="196">
                  <c:v>602282.08654049085</c:v>
                </c:pt>
                <c:pt idx="197">
                  <c:v>625377.63285419368</c:v>
                </c:pt>
                <c:pt idx="198">
                  <c:v>645505.79473440221</c:v>
                </c:pt>
                <c:pt idx="199">
                  <c:v>659091.41021305101</c:v>
                </c:pt>
                <c:pt idx="200">
                  <c:v>674607.61315445509</c:v>
                </c:pt>
                <c:pt idx="201">
                  <c:v>692733.68433254701</c:v>
                </c:pt>
                <c:pt idx="202">
                  <c:v>661236.50739389029</c:v>
                </c:pt>
                <c:pt idx="203">
                  <c:v>784972.86310863588</c:v>
                </c:pt>
                <c:pt idx="204">
                  <c:v>727734.51999990782</c:v>
                </c:pt>
                <c:pt idx="205">
                  <c:v>778072.80051026959</c:v>
                </c:pt>
                <c:pt idx="206">
                  <c:v>743036.213223228</c:v>
                </c:pt>
                <c:pt idx="207">
                  <c:v>808175.6642813806</c:v>
                </c:pt>
                <c:pt idx="208">
                  <c:v>784329.33395438408</c:v>
                </c:pt>
                <c:pt idx="209">
                  <c:v>906313.86030477751</c:v>
                </c:pt>
                <c:pt idx="210">
                  <c:v>794840.31014049659</c:v>
                </c:pt>
                <c:pt idx="211">
                  <c:v>786009.66007937491</c:v>
                </c:pt>
                <c:pt idx="212">
                  <c:v>782684.75944907393</c:v>
                </c:pt>
                <c:pt idx="213">
                  <c:v>790979.13521498581</c:v>
                </c:pt>
                <c:pt idx="214">
                  <c:v>847466.69431042008</c:v>
                </c:pt>
                <c:pt idx="215">
                  <c:v>639034.75157220382</c:v>
                </c:pt>
                <c:pt idx="216">
                  <c:v>625449.13609355502</c:v>
                </c:pt>
                <c:pt idx="217">
                  <c:v>605893.00012823695</c:v>
                </c:pt>
                <c:pt idx="218">
                  <c:v>613436.59188085503</c:v>
                </c:pt>
                <c:pt idx="219">
                  <c:v>706855.57410640549</c:v>
                </c:pt>
                <c:pt idx="220">
                  <c:v>710895.50713031949</c:v>
                </c:pt>
                <c:pt idx="221">
                  <c:v>727913.27809831104</c:v>
                </c:pt>
                <c:pt idx="222">
                  <c:v>759839.47447313566</c:v>
                </c:pt>
                <c:pt idx="223">
                  <c:v>614687.89856967796</c:v>
                </c:pt>
                <c:pt idx="224">
                  <c:v>547796.6181471732</c:v>
                </c:pt>
                <c:pt idx="225">
                  <c:v>584620.7864182475</c:v>
                </c:pt>
                <c:pt idx="226">
                  <c:v>495348.99207565293</c:v>
                </c:pt>
                <c:pt idx="227">
                  <c:v>659162.91345241235</c:v>
                </c:pt>
                <c:pt idx="228">
                  <c:v>766560.77897309873</c:v>
                </c:pt>
                <c:pt idx="229">
                  <c:v>680184.86582463724</c:v>
                </c:pt>
                <c:pt idx="230">
                  <c:v>641287.10361208499</c:v>
                </c:pt>
                <c:pt idx="231">
                  <c:v>598635.42133306409</c:v>
                </c:pt>
                <c:pt idx="232">
                  <c:v>636424.88333551597</c:v>
                </c:pt>
                <c:pt idx="233">
                  <c:v>642073.63924505934</c:v>
                </c:pt>
                <c:pt idx="234">
                  <c:v>666742.2568247111</c:v>
                </c:pt>
                <c:pt idx="235">
                  <c:v>800417.56281067862</c:v>
                </c:pt>
                <c:pt idx="236">
                  <c:v>803563.70534257626</c:v>
                </c:pt>
                <c:pt idx="237">
                  <c:v>793052.72915646376</c:v>
                </c:pt>
                <c:pt idx="238">
                  <c:v>779181.10072036972</c:v>
                </c:pt>
                <c:pt idx="239">
                  <c:v>734169.81154242565</c:v>
                </c:pt>
                <c:pt idx="240">
                  <c:v>648115.66297109006</c:v>
                </c:pt>
                <c:pt idx="241">
                  <c:v>806423.83491702867</c:v>
                </c:pt>
                <c:pt idx="242">
                  <c:v>732346.47893871227</c:v>
                </c:pt>
                <c:pt idx="243">
                  <c:v>765595.48524172103</c:v>
                </c:pt>
                <c:pt idx="244">
                  <c:v>758409.40968590952</c:v>
                </c:pt>
                <c:pt idx="245">
                  <c:v>709822.9585398999</c:v>
                </c:pt>
                <c:pt idx="246">
                  <c:v>736457.91520198761</c:v>
                </c:pt>
                <c:pt idx="247">
                  <c:v>584728.04127728939</c:v>
                </c:pt>
                <c:pt idx="248">
                  <c:v>652298.60247372661</c:v>
                </c:pt>
                <c:pt idx="249">
                  <c:v>672212.25463585125</c:v>
                </c:pt>
                <c:pt idx="250">
                  <c:v>690731.59363043029</c:v>
                </c:pt>
                <c:pt idx="251">
                  <c:v>688657.99968895235</c:v>
                </c:pt>
                <c:pt idx="252">
                  <c:v>691303.61954532075</c:v>
                </c:pt>
                <c:pt idx="253">
                  <c:v>647865.4016333255</c:v>
                </c:pt>
                <c:pt idx="254">
                  <c:v>653085.13810670096</c:v>
                </c:pt>
                <c:pt idx="255">
                  <c:v>738102.48970729765</c:v>
                </c:pt>
                <c:pt idx="256">
                  <c:v>716973.28247603076</c:v>
                </c:pt>
                <c:pt idx="257">
                  <c:v>754869.99933752464</c:v>
                </c:pt>
                <c:pt idx="258">
                  <c:v>726340.20683236234</c:v>
                </c:pt>
                <c:pt idx="259">
                  <c:v>555125.70018170739</c:v>
                </c:pt>
                <c:pt idx="260">
                  <c:v>617190.5119473238</c:v>
                </c:pt>
                <c:pt idx="261">
                  <c:v>621444.95468932169</c:v>
                </c:pt>
                <c:pt idx="262">
                  <c:v>589983.52937034564</c:v>
                </c:pt>
                <c:pt idx="263">
                  <c:v>708035.37755586719</c:v>
                </c:pt>
                <c:pt idx="264">
                  <c:v>736815.43139879405</c:v>
                </c:pt>
                <c:pt idx="265">
                  <c:v>731095.17224988935</c:v>
                </c:pt>
                <c:pt idx="266">
                  <c:v>705032.24150269222</c:v>
                </c:pt>
                <c:pt idx="267">
                  <c:v>734062.55668338365</c:v>
                </c:pt>
                <c:pt idx="268">
                  <c:v>732847.0016142414</c:v>
                </c:pt>
                <c:pt idx="269">
                  <c:v>810571.02279998455</c:v>
                </c:pt>
                <c:pt idx="270">
                  <c:v>712397.07515690709</c:v>
                </c:pt>
                <c:pt idx="271">
                  <c:v>649581.47937799687</c:v>
                </c:pt>
                <c:pt idx="272">
                  <c:v>565100.4020726101</c:v>
                </c:pt>
                <c:pt idx="273">
                  <c:v>652370.10571308795</c:v>
                </c:pt>
                <c:pt idx="274">
                  <c:v>656874.8097928504</c:v>
                </c:pt>
                <c:pt idx="275">
                  <c:v>752367.3859598788</c:v>
                </c:pt>
                <c:pt idx="276">
                  <c:v>732239.22407967038</c:v>
                </c:pt>
                <c:pt idx="277">
                  <c:v>779538.6169171764</c:v>
                </c:pt>
                <c:pt idx="278">
                  <c:v>771852.01868583565</c:v>
                </c:pt>
                <c:pt idx="279">
                  <c:v>589983.52937034564</c:v>
                </c:pt>
                <c:pt idx="280">
                  <c:v>601888.81872400362</c:v>
                </c:pt>
                <c:pt idx="281">
                  <c:v>651583.5700801136</c:v>
                </c:pt>
                <c:pt idx="282">
                  <c:v>554410.66778809438</c:v>
                </c:pt>
                <c:pt idx="283">
                  <c:v>645041.02367855376</c:v>
                </c:pt>
                <c:pt idx="284">
                  <c:v>606608.03252185008</c:v>
                </c:pt>
                <c:pt idx="285">
                  <c:v>594988.75612563733</c:v>
                </c:pt>
                <c:pt idx="286">
                  <c:v>592557.64598735282</c:v>
                </c:pt>
                <c:pt idx="287">
                  <c:v>749507.2563854265</c:v>
                </c:pt>
                <c:pt idx="288">
                  <c:v>724838.63880577474</c:v>
                </c:pt>
                <c:pt idx="289">
                  <c:v>742928.95836418611</c:v>
                </c:pt>
                <c:pt idx="290">
                  <c:v>699419.23721282941</c:v>
                </c:pt>
                <c:pt idx="291">
                  <c:v>583262.22487038258</c:v>
                </c:pt>
                <c:pt idx="292">
                  <c:v>530492.83422173641</c:v>
                </c:pt>
                <c:pt idx="293">
                  <c:v>490200.75884163869</c:v>
                </c:pt>
                <c:pt idx="294">
                  <c:v>507790.55572452076</c:v>
                </c:pt>
                <c:pt idx="295">
                  <c:v>656982.0646518924</c:v>
                </c:pt>
                <c:pt idx="296">
                  <c:v>657232.32598965697</c:v>
                </c:pt>
                <c:pt idx="297">
                  <c:v>621301.94821059913</c:v>
                </c:pt>
                <c:pt idx="298">
                  <c:v>498459.3829878699</c:v>
                </c:pt>
                <c:pt idx="299">
                  <c:v>741212.88061951462</c:v>
                </c:pt>
                <c:pt idx="300">
                  <c:v>731810.20464350248</c:v>
                </c:pt>
                <c:pt idx="301">
                  <c:v>741784.90653440508</c:v>
                </c:pt>
                <c:pt idx="302">
                  <c:v>738746.01886154944</c:v>
                </c:pt>
                <c:pt idx="303">
                  <c:v>679791.59800815</c:v>
                </c:pt>
                <c:pt idx="304">
                  <c:v>653692.91564127221</c:v>
                </c:pt>
                <c:pt idx="305">
                  <c:v>671461.47062255745</c:v>
                </c:pt>
                <c:pt idx="306">
                  <c:v>674965.12935126165</c:v>
                </c:pt>
                <c:pt idx="307">
                  <c:v>652084.09275564272</c:v>
                </c:pt>
                <c:pt idx="308">
                  <c:v>635137.82502701238</c:v>
                </c:pt>
                <c:pt idx="309">
                  <c:v>640464.81635942997</c:v>
                </c:pt>
                <c:pt idx="310">
                  <c:v>713576.87860636855</c:v>
                </c:pt>
                <c:pt idx="311">
                  <c:v>666563.49872630788</c:v>
                </c:pt>
                <c:pt idx="312">
                  <c:v>731238.17872861191</c:v>
                </c:pt>
                <c:pt idx="313">
                  <c:v>660700.23309868039</c:v>
                </c:pt>
                <c:pt idx="314">
                  <c:v>802526.90837183723</c:v>
                </c:pt>
                <c:pt idx="315">
                  <c:v>647793.89839396416</c:v>
                </c:pt>
                <c:pt idx="316">
                  <c:v>570105.62882790167</c:v>
                </c:pt>
                <c:pt idx="317">
                  <c:v>724159.35803184239</c:v>
                </c:pt>
                <c:pt idx="318">
                  <c:v>636281.87685679342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1-4DD5-9CD7-DEF7EC64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079328"/>
        <c:axId val="1388087488"/>
      </c:scatterChart>
      <c:valAx>
        <c:axId val="138807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8302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087488"/>
        <c:crosses val="autoZero"/>
        <c:crossBetween val="midCat"/>
      </c:valAx>
      <c:valAx>
        <c:axId val="1388087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658832.62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07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F-47F7-B943-0DF6CB33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396304"/>
        <c:axId val="1506398224"/>
      </c:scatterChart>
      <c:valAx>
        <c:axId val="150639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6398224"/>
        <c:crosses val="autoZero"/>
        <c:crossBetween val="midCat"/>
      </c:valAx>
      <c:valAx>
        <c:axId val="1506398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6396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C2-4254-9594-EFE05A4F6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641216"/>
        <c:axId val="1509635936"/>
      </c:scatterChart>
      <c:valAx>
        <c:axId val="15096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9635936"/>
        <c:crosses val="autoZero"/>
        <c:crossBetween val="midCat"/>
      </c:valAx>
      <c:valAx>
        <c:axId val="1509635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96412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multiple_regression_data!$G$2:$G$321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35-4D98-BB68-806869705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424208"/>
        <c:axId val="316678912"/>
      </c:scatterChart>
      <c:valAx>
        <c:axId val="155442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6678912"/>
        <c:crosses val="autoZero"/>
        <c:crossBetween val="midCat"/>
      </c:valAx>
      <c:valAx>
        <c:axId val="316678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442420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staff_count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multiple_regression_data!$H$2:$H$321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67-4D0A-AEAB-628573FB7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75376"/>
        <c:axId val="309176336"/>
      </c:scatterChart>
      <c:valAx>
        <c:axId val="30917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staff_count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176336"/>
        <c:crosses val="autoZero"/>
        <c:crossBetween val="midCat"/>
      </c:valAx>
      <c:valAx>
        <c:axId val="30917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1753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inventory_availability_pct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multiple_regression_data!$I$2:$I$321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BB-440A-83B6-037BCD7F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639776"/>
        <c:axId val="1554415568"/>
      </c:scatterChart>
      <c:valAx>
        <c:axId val="150963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inventory_availability_pct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4415568"/>
        <c:crosses val="autoZero"/>
        <c:crossBetween val="midCat"/>
      </c:valAx>
      <c:valAx>
        <c:axId val="1554415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96397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competitor_distance_km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multiple_regression_data!$J$2:$J$321</c:f>
              <c:numCache>
                <c:formatCode>General</c:formatCode>
                <c:ptCount val="320"/>
                <c:pt idx="0">
                  <c:v>5.28</c:v>
                </c:pt>
                <c:pt idx="1">
                  <c:v>4.3099999999999996</c:v>
                </c:pt>
                <c:pt idx="2">
                  <c:v>12</c:v>
                </c:pt>
                <c:pt idx="3">
                  <c:v>4.97</c:v>
                </c:pt>
                <c:pt idx="4">
                  <c:v>6.94</c:v>
                </c:pt>
                <c:pt idx="5">
                  <c:v>2.88</c:v>
                </c:pt>
                <c:pt idx="6">
                  <c:v>0.2</c:v>
                </c:pt>
                <c:pt idx="7">
                  <c:v>0.8</c:v>
                </c:pt>
                <c:pt idx="8">
                  <c:v>7.7</c:v>
                </c:pt>
                <c:pt idx="9">
                  <c:v>1.91</c:v>
                </c:pt>
                <c:pt idx="10">
                  <c:v>10.46</c:v>
                </c:pt>
                <c:pt idx="11">
                  <c:v>7.16</c:v>
                </c:pt>
                <c:pt idx="12">
                  <c:v>4.24</c:v>
                </c:pt>
                <c:pt idx="13">
                  <c:v>1.06</c:v>
                </c:pt>
                <c:pt idx="14">
                  <c:v>0.27</c:v>
                </c:pt>
                <c:pt idx="15">
                  <c:v>1.32</c:v>
                </c:pt>
                <c:pt idx="16">
                  <c:v>1.22</c:v>
                </c:pt>
                <c:pt idx="17">
                  <c:v>4.01</c:v>
                </c:pt>
                <c:pt idx="18">
                  <c:v>0.2</c:v>
                </c:pt>
                <c:pt idx="19">
                  <c:v>0.5</c:v>
                </c:pt>
                <c:pt idx="20">
                  <c:v>6.95</c:v>
                </c:pt>
                <c:pt idx="21">
                  <c:v>0.2</c:v>
                </c:pt>
                <c:pt idx="22">
                  <c:v>1.61</c:v>
                </c:pt>
                <c:pt idx="23">
                  <c:v>1.55</c:v>
                </c:pt>
                <c:pt idx="24">
                  <c:v>2.99</c:v>
                </c:pt>
                <c:pt idx="25">
                  <c:v>7.04</c:v>
                </c:pt>
                <c:pt idx="26">
                  <c:v>4.9400000000000004</c:v>
                </c:pt>
                <c:pt idx="27">
                  <c:v>16.149999999999999</c:v>
                </c:pt>
                <c:pt idx="28">
                  <c:v>0.48</c:v>
                </c:pt>
                <c:pt idx="29">
                  <c:v>0.31</c:v>
                </c:pt>
                <c:pt idx="30">
                  <c:v>3.01</c:v>
                </c:pt>
                <c:pt idx="31">
                  <c:v>12.15</c:v>
                </c:pt>
                <c:pt idx="32">
                  <c:v>11.71</c:v>
                </c:pt>
                <c:pt idx="33">
                  <c:v>0.62</c:v>
                </c:pt>
                <c:pt idx="34">
                  <c:v>2.12</c:v>
                </c:pt>
                <c:pt idx="35">
                  <c:v>6.31</c:v>
                </c:pt>
                <c:pt idx="36">
                  <c:v>9.56</c:v>
                </c:pt>
                <c:pt idx="37">
                  <c:v>9.0500000000000007</c:v>
                </c:pt>
                <c:pt idx="38">
                  <c:v>5.05</c:v>
                </c:pt>
                <c:pt idx="39">
                  <c:v>0.89</c:v>
                </c:pt>
                <c:pt idx="40">
                  <c:v>5.57</c:v>
                </c:pt>
                <c:pt idx="41">
                  <c:v>1.06</c:v>
                </c:pt>
                <c:pt idx="42">
                  <c:v>1.24</c:v>
                </c:pt>
                <c:pt idx="43">
                  <c:v>4.5199999999999996</c:v>
                </c:pt>
                <c:pt idx="44">
                  <c:v>9.58</c:v>
                </c:pt>
                <c:pt idx="45">
                  <c:v>5.52</c:v>
                </c:pt>
                <c:pt idx="46">
                  <c:v>2.7</c:v>
                </c:pt>
                <c:pt idx="47">
                  <c:v>9.64</c:v>
                </c:pt>
                <c:pt idx="48">
                  <c:v>3.49</c:v>
                </c:pt>
                <c:pt idx="49">
                  <c:v>9.11</c:v>
                </c:pt>
                <c:pt idx="50">
                  <c:v>7.4</c:v>
                </c:pt>
                <c:pt idx="51">
                  <c:v>7.16</c:v>
                </c:pt>
                <c:pt idx="52">
                  <c:v>22.02</c:v>
                </c:pt>
                <c:pt idx="53">
                  <c:v>6.18</c:v>
                </c:pt>
                <c:pt idx="54">
                  <c:v>1.76</c:v>
                </c:pt>
                <c:pt idx="55">
                  <c:v>0.47</c:v>
                </c:pt>
                <c:pt idx="56">
                  <c:v>0.2</c:v>
                </c:pt>
                <c:pt idx="57">
                  <c:v>5.1100000000000003</c:v>
                </c:pt>
                <c:pt idx="58">
                  <c:v>0.2</c:v>
                </c:pt>
                <c:pt idx="59">
                  <c:v>13.59</c:v>
                </c:pt>
                <c:pt idx="60">
                  <c:v>1.02</c:v>
                </c:pt>
                <c:pt idx="61">
                  <c:v>1.64</c:v>
                </c:pt>
                <c:pt idx="62">
                  <c:v>5.15</c:v>
                </c:pt>
                <c:pt idx="63">
                  <c:v>1.1100000000000001</c:v>
                </c:pt>
                <c:pt idx="64">
                  <c:v>6.08</c:v>
                </c:pt>
                <c:pt idx="65">
                  <c:v>10.91</c:v>
                </c:pt>
                <c:pt idx="66">
                  <c:v>19.010000000000002</c:v>
                </c:pt>
                <c:pt idx="67">
                  <c:v>0.77</c:v>
                </c:pt>
                <c:pt idx="68">
                  <c:v>2.83</c:v>
                </c:pt>
                <c:pt idx="69">
                  <c:v>2.33</c:v>
                </c:pt>
                <c:pt idx="70">
                  <c:v>1.43</c:v>
                </c:pt>
                <c:pt idx="71" formatCode="0.00">
                  <c:v>4.5999999999999996</c:v>
                </c:pt>
                <c:pt idx="72">
                  <c:v>4.91</c:v>
                </c:pt>
                <c:pt idx="73">
                  <c:v>7.03</c:v>
                </c:pt>
                <c:pt idx="74">
                  <c:v>0.28000000000000003</c:v>
                </c:pt>
                <c:pt idx="75">
                  <c:v>3.61</c:v>
                </c:pt>
                <c:pt idx="76">
                  <c:v>7.52</c:v>
                </c:pt>
                <c:pt idx="77">
                  <c:v>2.58</c:v>
                </c:pt>
                <c:pt idx="78">
                  <c:v>2.29</c:v>
                </c:pt>
                <c:pt idx="79">
                  <c:v>2.39</c:v>
                </c:pt>
                <c:pt idx="80">
                  <c:v>5.24</c:v>
                </c:pt>
                <c:pt idx="81">
                  <c:v>3.17</c:v>
                </c:pt>
                <c:pt idx="82">
                  <c:v>2.66</c:v>
                </c:pt>
                <c:pt idx="83">
                  <c:v>1.41</c:v>
                </c:pt>
                <c:pt idx="84">
                  <c:v>7.34</c:v>
                </c:pt>
                <c:pt idx="85">
                  <c:v>5.95</c:v>
                </c:pt>
                <c:pt idx="86">
                  <c:v>15.51</c:v>
                </c:pt>
                <c:pt idx="87">
                  <c:v>4.3099999999999996</c:v>
                </c:pt>
                <c:pt idx="88">
                  <c:v>6.61</c:v>
                </c:pt>
                <c:pt idx="89">
                  <c:v>4.26</c:v>
                </c:pt>
                <c:pt idx="90">
                  <c:v>5.75</c:v>
                </c:pt>
                <c:pt idx="91">
                  <c:v>0.33</c:v>
                </c:pt>
                <c:pt idx="92">
                  <c:v>2.92</c:v>
                </c:pt>
                <c:pt idx="93">
                  <c:v>1.64</c:v>
                </c:pt>
                <c:pt idx="94">
                  <c:v>0.8</c:v>
                </c:pt>
                <c:pt idx="95">
                  <c:v>5.79</c:v>
                </c:pt>
                <c:pt idx="96">
                  <c:v>19.600000000000001</c:v>
                </c:pt>
                <c:pt idx="97">
                  <c:v>7.57</c:v>
                </c:pt>
                <c:pt idx="98" formatCode="0.00">
                  <c:v>4.5999999999999996</c:v>
                </c:pt>
                <c:pt idx="99">
                  <c:v>2.7</c:v>
                </c:pt>
                <c:pt idx="100">
                  <c:v>0.2</c:v>
                </c:pt>
                <c:pt idx="101">
                  <c:v>7.87</c:v>
                </c:pt>
                <c:pt idx="102">
                  <c:v>0.77</c:v>
                </c:pt>
                <c:pt idx="103">
                  <c:v>1.48</c:v>
                </c:pt>
                <c:pt idx="104">
                  <c:v>2.87</c:v>
                </c:pt>
                <c:pt idx="105">
                  <c:v>2.83</c:v>
                </c:pt>
                <c:pt idx="106">
                  <c:v>0.25</c:v>
                </c:pt>
                <c:pt idx="107">
                  <c:v>13.33</c:v>
                </c:pt>
                <c:pt idx="108">
                  <c:v>6.35</c:v>
                </c:pt>
                <c:pt idx="109">
                  <c:v>6.69</c:v>
                </c:pt>
                <c:pt idx="110">
                  <c:v>1.28</c:v>
                </c:pt>
                <c:pt idx="111">
                  <c:v>0.92</c:v>
                </c:pt>
                <c:pt idx="112">
                  <c:v>1.05</c:v>
                </c:pt>
                <c:pt idx="113">
                  <c:v>2.67</c:v>
                </c:pt>
                <c:pt idx="114">
                  <c:v>5.91</c:v>
                </c:pt>
                <c:pt idx="115">
                  <c:v>6.37</c:v>
                </c:pt>
                <c:pt idx="116">
                  <c:v>2.4900000000000002</c:v>
                </c:pt>
                <c:pt idx="117">
                  <c:v>1.56</c:v>
                </c:pt>
                <c:pt idx="118">
                  <c:v>14.95</c:v>
                </c:pt>
                <c:pt idx="119">
                  <c:v>7.85</c:v>
                </c:pt>
                <c:pt idx="120">
                  <c:v>6.8</c:v>
                </c:pt>
                <c:pt idx="121">
                  <c:v>2.2000000000000002</c:v>
                </c:pt>
                <c:pt idx="122">
                  <c:v>1.88</c:v>
                </c:pt>
                <c:pt idx="123">
                  <c:v>15.79</c:v>
                </c:pt>
                <c:pt idx="124">
                  <c:v>2.34</c:v>
                </c:pt>
                <c:pt idx="125">
                  <c:v>0.54</c:v>
                </c:pt>
                <c:pt idx="126">
                  <c:v>5.37</c:v>
                </c:pt>
                <c:pt idx="127">
                  <c:v>3.19</c:v>
                </c:pt>
                <c:pt idx="128">
                  <c:v>1.1000000000000001</c:v>
                </c:pt>
                <c:pt idx="129">
                  <c:v>0.21</c:v>
                </c:pt>
                <c:pt idx="130">
                  <c:v>5.12</c:v>
                </c:pt>
                <c:pt idx="131">
                  <c:v>9.77</c:v>
                </c:pt>
                <c:pt idx="132">
                  <c:v>3.77</c:v>
                </c:pt>
                <c:pt idx="133">
                  <c:v>0.78</c:v>
                </c:pt>
                <c:pt idx="134">
                  <c:v>5.17</c:v>
                </c:pt>
                <c:pt idx="135">
                  <c:v>3.2</c:v>
                </c:pt>
                <c:pt idx="136">
                  <c:v>3.4</c:v>
                </c:pt>
                <c:pt idx="137">
                  <c:v>7.38</c:v>
                </c:pt>
                <c:pt idx="138">
                  <c:v>0.85</c:v>
                </c:pt>
                <c:pt idx="139">
                  <c:v>2.89</c:v>
                </c:pt>
                <c:pt idx="140">
                  <c:v>0.77</c:v>
                </c:pt>
                <c:pt idx="141">
                  <c:v>2.92</c:v>
                </c:pt>
                <c:pt idx="142">
                  <c:v>3.07</c:v>
                </c:pt>
                <c:pt idx="143">
                  <c:v>9.6999999999999993</c:v>
                </c:pt>
                <c:pt idx="144">
                  <c:v>3.71</c:v>
                </c:pt>
                <c:pt idx="145">
                  <c:v>10.79</c:v>
                </c:pt>
                <c:pt idx="146">
                  <c:v>6.03</c:v>
                </c:pt>
                <c:pt idx="147">
                  <c:v>4.92</c:v>
                </c:pt>
                <c:pt idx="148">
                  <c:v>19.78</c:v>
                </c:pt>
                <c:pt idx="149">
                  <c:v>5.45</c:v>
                </c:pt>
                <c:pt idx="150">
                  <c:v>2.33</c:v>
                </c:pt>
                <c:pt idx="151">
                  <c:v>3.55</c:v>
                </c:pt>
                <c:pt idx="152">
                  <c:v>0.2</c:v>
                </c:pt>
                <c:pt idx="153">
                  <c:v>2.09</c:v>
                </c:pt>
                <c:pt idx="154">
                  <c:v>2.2599999999999998</c:v>
                </c:pt>
                <c:pt idx="155">
                  <c:v>0.44</c:v>
                </c:pt>
                <c:pt idx="156">
                  <c:v>3.08</c:v>
                </c:pt>
                <c:pt idx="157">
                  <c:v>7.99</c:v>
                </c:pt>
                <c:pt idx="158">
                  <c:v>0.2</c:v>
                </c:pt>
                <c:pt idx="159">
                  <c:v>5.46</c:v>
                </c:pt>
                <c:pt idx="160">
                  <c:v>4.05</c:v>
                </c:pt>
                <c:pt idx="161">
                  <c:v>4.3600000000000003</c:v>
                </c:pt>
                <c:pt idx="162" formatCode="0.00">
                  <c:v>4.5999999999999996</c:v>
                </c:pt>
                <c:pt idx="163">
                  <c:v>0.54</c:v>
                </c:pt>
                <c:pt idx="164">
                  <c:v>11.37</c:v>
                </c:pt>
                <c:pt idx="165">
                  <c:v>9.43</c:v>
                </c:pt>
                <c:pt idx="166">
                  <c:v>3.49</c:v>
                </c:pt>
                <c:pt idx="167">
                  <c:v>7.86</c:v>
                </c:pt>
                <c:pt idx="168">
                  <c:v>12.55</c:v>
                </c:pt>
                <c:pt idx="169">
                  <c:v>3.48</c:v>
                </c:pt>
                <c:pt idx="170">
                  <c:v>7.73</c:v>
                </c:pt>
                <c:pt idx="171">
                  <c:v>0.25</c:v>
                </c:pt>
                <c:pt idx="172">
                  <c:v>6.43</c:v>
                </c:pt>
                <c:pt idx="173">
                  <c:v>2.11</c:v>
                </c:pt>
                <c:pt idx="174">
                  <c:v>9.1199999999999992</c:v>
                </c:pt>
                <c:pt idx="175">
                  <c:v>2.71</c:v>
                </c:pt>
                <c:pt idx="176">
                  <c:v>3.65</c:v>
                </c:pt>
                <c:pt idx="177">
                  <c:v>7.86</c:v>
                </c:pt>
                <c:pt idx="178">
                  <c:v>0.3</c:v>
                </c:pt>
                <c:pt idx="179">
                  <c:v>8.44</c:v>
                </c:pt>
                <c:pt idx="180">
                  <c:v>5.27</c:v>
                </c:pt>
                <c:pt idx="181">
                  <c:v>13.22</c:v>
                </c:pt>
                <c:pt idx="182">
                  <c:v>1.02</c:v>
                </c:pt>
                <c:pt idx="183">
                  <c:v>4.03</c:v>
                </c:pt>
                <c:pt idx="184">
                  <c:v>2.34</c:v>
                </c:pt>
                <c:pt idx="185">
                  <c:v>8.51</c:v>
                </c:pt>
                <c:pt idx="186">
                  <c:v>0.48</c:v>
                </c:pt>
                <c:pt idx="187">
                  <c:v>13.62</c:v>
                </c:pt>
                <c:pt idx="188">
                  <c:v>7.77</c:v>
                </c:pt>
                <c:pt idx="189">
                  <c:v>1.99</c:v>
                </c:pt>
                <c:pt idx="190">
                  <c:v>4.7699999999999996</c:v>
                </c:pt>
                <c:pt idx="191">
                  <c:v>0.2</c:v>
                </c:pt>
                <c:pt idx="192">
                  <c:v>0.53</c:v>
                </c:pt>
                <c:pt idx="193">
                  <c:v>1.54</c:v>
                </c:pt>
                <c:pt idx="194">
                  <c:v>3.63</c:v>
                </c:pt>
                <c:pt idx="195">
                  <c:v>13.48</c:v>
                </c:pt>
                <c:pt idx="196">
                  <c:v>0.2</c:v>
                </c:pt>
                <c:pt idx="197">
                  <c:v>12.82</c:v>
                </c:pt>
                <c:pt idx="198">
                  <c:v>2.2400000000000002</c:v>
                </c:pt>
                <c:pt idx="199">
                  <c:v>1.8</c:v>
                </c:pt>
                <c:pt idx="200">
                  <c:v>0.41</c:v>
                </c:pt>
                <c:pt idx="201">
                  <c:v>3.05</c:v>
                </c:pt>
                <c:pt idx="202">
                  <c:v>8.44</c:v>
                </c:pt>
                <c:pt idx="203">
                  <c:v>0.78</c:v>
                </c:pt>
                <c:pt idx="204">
                  <c:v>0.87</c:v>
                </c:pt>
                <c:pt idx="205">
                  <c:v>0.95</c:v>
                </c:pt>
                <c:pt idx="206">
                  <c:v>3.82</c:v>
                </c:pt>
                <c:pt idx="207">
                  <c:v>2.7</c:v>
                </c:pt>
                <c:pt idx="208">
                  <c:v>3.84</c:v>
                </c:pt>
                <c:pt idx="209">
                  <c:v>5.09</c:v>
                </c:pt>
                <c:pt idx="210">
                  <c:v>3.82</c:v>
                </c:pt>
                <c:pt idx="211">
                  <c:v>12.28</c:v>
                </c:pt>
                <c:pt idx="212">
                  <c:v>2.8</c:v>
                </c:pt>
                <c:pt idx="213">
                  <c:v>3.67</c:v>
                </c:pt>
                <c:pt idx="214">
                  <c:v>2.81</c:v>
                </c:pt>
                <c:pt idx="215">
                  <c:v>2.44</c:v>
                </c:pt>
                <c:pt idx="216">
                  <c:v>3.27</c:v>
                </c:pt>
                <c:pt idx="217">
                  <c:v>10.34</c:v>
                </c:pt>
                <c:pt idx="218">
                  <c:v>1.92</c:v>
                </c:pt>
                <c:pt idx="219">
                  <c:v>3.1</c:v>
                </c:pt>
                <c:pt idx="220">
                  <c:v>6.34</c:v>
                </c:pt>
                <c:pt idx="221">
                  <c:v>1.2</c:v>
                </c:pt>
                <c:pt idx="222">
                  <c:v>4.5</c:v>
                </c:pt>
                <c:pt idx="223">
                  <c:v>6.68</c:v>
                </c:pt>
                <c:pt idx="224">
                  <c:v>4.07</c:v>
                </c:pt>
                <c:pt idx="225">
                  <c:v>5.45</c:v>
                </c:pt>
                <c:pt idx="226">
                  <c:v>15.58</c:v>
                </c:pt>
                <c:pt idx="227">
                  <c:v>5.32</c:v>
                </c:pt>
                <c:pt idx="228">
                  <c:v>0.37</c:v>
                </c:pt>
                <c:pt idx="229">
                  <c:v>21.63</c:v>
                </c:pt>
                <c:pt idx="230">
                  <c:v>2.48</c:v>
                </c:pt>
                <c:pt idx="231" formatCode="0.00">
                  <c:v>4.5999999999999996</c:v>
                </c:pt>
                <c:pt idx="232">
                  <c:v>0.85</c:v>
                </c:pt>
                <c:pt idx="233">
                  <c:v>2.13</c:v>
                </c:pt>
                <c:pt idx="234">
                  <c:v>1.46</c:v>
                </c:pt>
                <c:pt idx="235">
                  <c:v>3.02</c:v>
                </c:pt>
                <c:pt idx="236">
                  <c:v>3.22</c:v>
                </c:pt>
                <c:pt idx="237">
                  <c:v>15.66</c:v>
                </c:pt>
                <c:pt idx="238">
                  <c:v>6.96</c:v>
                </c:pt>
                <c:pt idx="239">
                  <c:v>4.62</c:v>
                </c:pt>
                <c:pt idx="240">
                  <c:v>10.68</c:v>
                </c:pt>
                <c:pt idx="241">
                  <c:v>4.04</c:v>
                </c:pt>
                <c:pt idx="242">
                  <c:v>1.87</c:v>
                </c:pt>
                <c:pt idx="243">
                  <c:v>2.83</c:v>
                </c:pt>
                <c:pt idx="244">
                  <c:v>0.95</c:v>
                </c:pt>
                <c:pt idx="245">
                  <c:v>0.8</c:v>
                </c:pt>
                <c:pt idx="246">
                  <c:v>0.2</c:v>
                </c:pt>
                <c:pt idx="247">
                  <c:v>1.7</c:v>
                </c:pt>
                <c:pt idx="248" formatCode="0.00">
                  <c:v>4.5999999999999996</c:v>
                </c:pt>
                <c:pt idx="249">
                  <c:v>5.0999999999999996</c:v>
                </c:pt>
                <c:pt idx="250">
                  <c:v>0.83</c:v>
                </c:pt>
                <c:pt idx="251">
                  <c:v>1.1399999999999999</c:v>
                </c:pt>
                <c:pt idx="252">
                  <c:v>9.5399999999999991</c:v>
                </c:pt>
                <c:pt idx="253">
                  <c:v>5.48</c:v>
                </c:pt>
                <c:pt idx="254">
                  <c:v>0.84</c:v>
                </c:pt>
                <c:pt idx="255">
                  <c:v>4.1900000000000004</c:v>
                </c:pt>
                <c:pt idx="256">
                  <c:v>1.26</c:v>
                </c:pt>
                <c:pt idx="257">
                  <c:v>2.74</c:v>
                </c:pt>
                <c:pt idx="258">
                  <c:v>3.69</c:v>
                </c:pt>
                <c:pt idx="259">
                  <c:v>1.82</c:v>
                </c:pt>
                <c:pt idx="260">
                  <c:v>6.62</c:v>
                </c:pt>
                <c:pt idx="261" formatCode="0.00">
                  <c:v>4.5999999999999996</c:v>
                </c:pt>
                <c:pt idx="262">
                  <c:v>6.92</c:v>
                </c:pt>
                <c:pt idx="263">
                  <c:v>11.78</c:v>
                </c:pt>
                <c:pt idx="264">
                  <c:v>0.5</c:v>
                </c:pt>
                <c:pt idx="265">
                  <c:v>0.88</c:v>
                </c:pt>
                <c:pt idx="266">
                  <c:v>2.25</c:v>
                </c:pt>
                <c:pt idx="267">
                  <c:v>0.28999999999999998</c:v>
                </c:pt>
                <c:pt idx="268">
                  <c:v>0.65</c:v>
                </c:pt>
                <c:pt idx="269">
                  <c:v>0.2</c:v>
                </c:pt>
                <c:pt idx="270">
                  <c:v>3.63</c:v>
                </c:pt>
                <c:pt idx="271">
                  <c:v>0.2</c:v>
                </c:pt>
                <c:pt idx="272">
                  <c:v>6.23</c:v>
                </c:pt>
                <c:pt idx="273">
                  <c:v>1.04</c:v>
                </c:pt>
                <c:pt idx="274">
                  <c:v>1.76</c:v>
                </c:pt>
                <c:pt idx="275">
                  <c:v>2.86</c:v>
                </c:pt>
                <c:pt idx="276">
                  <c:v>18.14</c:v>
                </c:pt>
                <c:pt idx="277">
                  <c:v>3.39</c:v>
                </c:pt>
                <c:pt idx="278">
                  <c:v>1.44</c:v>
                </c:pt>
                <c:pt idx="279">
                  <c:v>3.65</c:v>
                </c:pt>
                <c:pt idx="280">
                  <c:v>1.23</c:v>
                </c:pt>
                <c:pt idx="281">
                  <c:v>3.09</c:v>
                </c:pt>
                <c:pt idx="282">
                  <c:v>3.15</c:v>
                </c:pt>
                <c:pt idx="283">
                  <c:v>6.44</c:v>
                </c:pt>
                <c:pt idx="284">
                  <c:v>0.2</c:v>
                </c:pt>
                <c:pt idx="285">
                  <c:v>0.59</c:v>
                </c:pt>
                <c:pt idx="286">
                  <c:v>0.2</c:v>
                </c:pt>
                <c:pt idx="287">
                  <c:v>1.36</c:v>
                </c:pt>
                <c:pt idx="288">
                  <c:v>3.34</c:v>
                </c:pt>
                <c:pt idx="289">
                  <c:v>0.33</c:v>
                </c:pt>
                <c:pt idx="290">
                  <c:v>3.44</c:v>
                </c:pt>
                <c:pt idx="291">
                  <c:v>5.33</c:v>
                </c:pt>
                <c:pt idx="292">
                  <c:v>6.04</c:v>
                </c:pt>
                <c:pt idx="293">
                  <c:v>1.6</c:v>
                </c:pt>
                <c:pt idx="294">
                  <c:v>8.9600000000000009</c:v>
                </c:pt>
                <c:pt idx="295">
                  <c:v>0.74</c:v>
                </c:pt>
                <c:pt idx="296">
                  <c:v>6.13</c:v>
                </c:pt>
                <c:pt idx="297">
                  <c:v>1.41</c:v>
                </c:pt>
                <c:pt idx="298">
                  <c:v>3.75</c:v>
                </c:pt>
                <c:pt idx="299">
                  <c:v>15.06</c:v>
                </c:pt>
                <c:pt idx="300">
                  <c:v>5.07</c:v>
                </c:pt>
                <c:pt idx="301">
                  <c:v>3.6</c:v>
                </c:pt>
                <c:pt idx="302">
                  <c:v>4.3899999999999997</c:v>
                </c:pt>
                <c:pt idx="303">
                  <c:v>2.79</c:v>
                </c:pt>
                <c:pt idx="304">
                  <c:v>1.56</c:v>
                </c:pt>
                <c:pt idx="305">
                  <c:v>15.82</c:v>
                </c:pt>
                <c:pt idx="306">
                  <c:v>1.17</c:v>
                </c:pt>
                <c:pt idx="307">
                  <c:v>3.82</c:v>
                </c:pt>
                <c:pt idx="308">
                  <c:v>4.1399999999999997</c:v>
                </c:pt>
                <c:pt idx="309">
                  <c:v>1.1000000000000001</c:v>
                </c:pt>
                <c:pt idx="310">
                  <c:v>10.6</c:v>
                </c:pt>
                <c:pt idx="311">
                  <c:v>0.9</c:v>
                </c:pt>
                <c:pt idx="312">
                  <c:v>0.2</c:v>
                </c:pt>
                <c:pt idx="313">
                  <c:v>4.67</c:v>
                </c:pt>
                <c:pt idx="314">
                  <c:v>4.38</c:v>
                </c:pt>
                <c:pt idx="315">
                  <c:v>4.4800000000000004</c:v>
                </c:pt>
                <c:pt idx="316">
                  <c:v>1.02</c:v>
                </c:pt>
                <c:pt idx="317">
                  <c:v>0.2</c:v>
                </c:pt>
                <c:pt idx="318">
                  <c:v>4.8899999999999997</c:v>
                </c:pt>
                <c:pt idx="319">
                  <c:v>11.82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FF-4D88-AEB0-1D6DA7C0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291680"/>
        <c:axId val="1513291200"/>
      </c:scatterChart>
      <c:valAx>
        <c:axId val="151329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competitor_distance_km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291200"/>
        <c:crosses val="autoZero"/>
        <c:crossBetween val="midCat"/>
      </c:valAx>
      <c:valAx>
        <c:axId val="1513291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291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holiday_flag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multiple_regression_data!$K$2:$K$321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34-4583-993D-855865D9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289760"/>
        <c:axId val="1513293600"/>
      </c:scatterChart>
      <c:valAx>
        <c:axId val="151328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holiday_flag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293600"/>
        <c:crosses val="autoZero"/>
        <c:crossBetween val="midCat"/>
      </c:valAx>
      <c:valAx>
        <c:axId val="1513293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2897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customer_rating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multiple_regression_data!$L$2:$L$321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 formatCode="0.0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 formatCode="0.0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 formatCode="0.0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 formatCode="0.0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 formatCode="0.0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 formatCode="0.0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 formatCode="0.0">
                  <c:v>3.9</c:v>
                </c:pt>
                <c:pt idx="312">
                  <c:v>3.4</c:v>
                </c:pt>
                <c:pt idx="313" formatCode="0.0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F7-420E-8F50-AE4EE9C90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142432"/>
        <c:axId val="1430143872"/>
      </c:scatterChart>
      <c:valAx>
        <c:axId val="14301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customer_rating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0143872"/>
        <c:crosses val="autoZero"/>
        <c:crossBetween val="midCat"/>
      </c:valAx>
      <c:valAx>
        <c:axId val="1430143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01424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region_north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multiple_regression_data!$M$2:$M$321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C6-433F-A545-4E76613D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178176"/>
        <c:axId val="367175296"/>
      </c:scatterChart>
      <c:valAx>
        <c:axId val="36717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region_north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7175296"/>
        <c:crosses val="autoZero"/>
        <c:crossBetween val="midCat"/>
      </c:valAx>
      <c:valAx>
        <c:axId val="367175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71781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region_south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multiple_regression_data!$N$2:$N$321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17-4C67-B9B6-60BAAD24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56928"/>
        <c:axId val="1513289280"/>
      </c:scatterChart>
      <c:valAx>
        <c:axId val="88885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region_south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289280"/>
        <c:crosses val="autoZero"/>
        <c:crossBetween val="midCat"/>
      </c:valAx>
      <c:valAx>
        <c:axId val="1513289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88569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region_west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multiple_regression_data!$O$2:$O$321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D4-46F5-A3AA-81BD6BD30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672608"/>
        <c:axId val="316671168"/>
      </c:scatterChart>
      <c:valAx>
        <c:axId val="316672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region_west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6671168"/>
        <c:crosses val="autoZero"/>
        <c:crossBetween val="midCat"/>
      </c:valAx>
      <c:valAx>
        <c:axId val="316671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667260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store_airport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multiple_regression_data!$P$2:$P$321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AC-4AD2-B6D7-60BFDCB15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144784"/>
        <c:axId val="320212272"/>
      </c:scatterChart>
      <c:valAx>
        <c:axId val="82014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store_airport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212272"/>
        <c:crosses val="autoZero"/>
        <c:crossBetween val="midCat"/>
      </c:valAx>
      <c:valAx>
        <c:axId val="32021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01447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store_highstreet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multiple_regression_data!$Q$2:$Q$321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1C-4F9F-8A38-79DB83DE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4592"/>
        <c:axId val="317177952"/>
      </c:scatterChart>
      <c:valAx>
        <c:axId val="31717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store_highstreet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177952"/>
        <c:crosses val="autoZero"/>
        <c:crossBetween val="midCat"/>
      </c:valAx>
      <c:valAx>
        <c:axId val="317177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1745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store_mall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multiple_regression_data!$R$2:$R$321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multiple_regression_output!$C$38:$C$357</c:f>
              <c:numCache>
                <c:formatCode>General</c:formatCode>
                <c:ptCount val="320"/>
                <c:pt idx="0">
                  <c:v>-18323.264002187527</c:v>
                </c:pt>
                <c:pt idx="1">
                  <c:v>-44596.882414788706</c:v>
                </c:pt>
                <c:pt idx="2">
                  <c:v>-17597.033817217918</c:v>
                </c:pt>
                <c:pt idx="3">
                  <c:v>-75681.110193577362</c:v>
                </c:pt>
                <c:pt idx="4">
                  <c:v>-46985.535311577609</c:v>
                </c:pt>
                <c:pt idx="5">
                  <c:v>-12354.849979312974</c:v>
                </c:pt>
                <c:pt idx="6">
                  <c:v>-282.69211814319715</c:v>
                </c:pt>
                <c:pt idx="7">
                  <c:v>57411.794831757201</c:v>
                </c:pt>
                <c:pt idx="8">
                  <c:v>57548.957276547095</c:v>
                </c:pt>
                <c:pt idx="9">
                  <c:v>-29052.077504589222</c:v>
                </c:pt>
                <c:pt idx="10">
                  <c:v>-30934.241364327609</c:v>
                </c:pt>
                <c:pt idx="11">
                  <c:v>43029.909658993827</c:v>
                </c:pt>
                <c:pt idx="12">
                  <c:v>40793.250132472254</c:v>
                </c:pt>
                <c:pt idx="13">
                  <c:v>-45527.27316383156</c:v>
                </c:pt>
                <c:pt idx="14">
                  <c:v>-6702.4259824078763</c:v>
                </c:pt>
                <c:pt idx="15">
                  <c:v>25259.092974950443</c:v>
                </c:pt>
                <c:pt idx="16">
                  <c:v>-11676.717802329455</c:v>
                </c:pt>
                <c:pt idx="17">
                  <c:v>-3878.3539384065662</c:v>
                </c:pt>
                <c:pt idx="18">
                  <c:v>-31720.897328886553</c:v>
                </c:pt>
                <c:pt idx="19">
                  <c:v>-22463.334138264763</c:v>
                </c:pt>
                <c:pt idx="20">
                  <c:v>-70236.306439462176</c:v>
                </c:pt>
                <c:pt idx="21">
                  <c:v>-11924.936977907782</c:v>
                </c:pt>
                <c:pt idx="22">
                  <c:v>4076.3933454890503</c:v>
                </c:pt>
                <c:pt idx="23">
                  <c:v>-855.49997502239421</c:v>
                </c:pt>
                <c:pt idx="24">
                  <c:v>-43563.010466155014</c:v>
                </c:pt>
                <c:pt idx="25">
                  <c:v>-111666.60315799457</c:v>
                </c:pt>
                <c:pt idx="26">
                  <c:v>-25753.233042219188</c:v>
                </c:pt>
                <c:pt idx="27">
                  <c:v>40692.305700645898</c:v>
                </c:pt>
                <c:pt idx="28">
                  <c:v>-58949.224354328879</c:v>
                </c:pt>
                <c:pt idx="29">
                  <c:v>25720.156824459962</c:v>
                </c:pt>
                <c:pt idx="30">
                  <c:v>-15672.511497412866</c:v>
                </c:pt>
                <c:pt idx="31">
                  <c:v>-14056.384239550855</c:v>
                </c:pt>
                <c:pt idx="32">
                  <c:v>-66929.95217099716</c:v>
                </c:pt>
                <c:pt idx="33">
                  <c:v>-51858.913918396458</c:v>
                </c:pt>
                <c:pt idx="34">
                  <c:v>1503.0875821756199</c:v>
                </c:pt>
                <c:pt idx="35">
                  <c:v>-3785.5138746418525</c:v>
                </c:pt>
                <c:pt idx="36">
                  <c:v>44318.506011646241</c:v>
                </c:pt>
                <c:pt idx="37">
                  <c:v>-24353.066814661026</c:v>
                </c:pt>
                <c:pt idx="38">
                  <c:v>-12443.092754061799</c:v>
                </c:pt>
                <c:pt idx="39">
                  <c:v>-22921.856666522683</c:v>
                </c:pt>
                <c:pt idx="40">
                  <c:v>11612.103252329514</c:v>
                </c:pt>
                <c:pt idx="41">
                  <c:v>2584.5073235627497</c:v>
                </c:pt>
                <c:pt idx="42">
                  <c:v>34039.249509232119</c:v>
                </c:pt>
                <c:pt idx="43">
                  <c:v>1890.2784675549483</c:v>
                </c:pt>
                <c:pt idx="44">
                  <c:v>-114293.29075125582</c:v>
                </c:pt>
                <c:pt idx="45">
                  <c:v>-32296.267772083869</c:v>
                </c:pt>
                <c:pt idx="46">
                  <c:v>25214.816750490572</c:v>
                </c:pt>
                <c:pt idx="47">
                  <c:v>32274.620581728639</c:v>
                </c:pt>
                <c:pt idx="48">
                  <c:v>-51608.407490546699</c:v>
                </c:pt>
                <c:pt idx="49">
                  <c:v>22848.058142635855</c:v>
                </c:pt>
                <c:pt idx="50">
                  <c:v>22977.584409569739</c:v>
                </c:pt>
                <c:pt idx="51">
                  <c:v>29338.327069023857</c:v>
                </c:pt>
                <c:pt idx="52">
                  <c:v>-37110.974265742407</c:v>
                </c:pt>
                <c:pt idx="53">
                  <c:v>30210.826101308572</c:v>
                </c:pt>
                <c:pt idx="54">
                  <c:v>22613.742606140207</c:v>
                </c:pt>
                <c:pt idx="55">
                  <c:v>-77156.33638017386</c:v>
                </c:pt>
                <c:pt idx="56">
                  <c:v>-32231.048770161578</c:v>
                </c:pt>
                <c:pt idx="57">
                  <c:v>-28624.176312867086</c:v>
                </c:pt>
                <c:pt idx="58">
                  <c:v>-60452.063768053311</c:v>
                </c:pt>
                <c:pt idx="59">
                  <c:v>-25116.931119004497</c:v>
                </c:pt>
                <c:pt idx="60">
                  <c:v>41798.859722334193</c:v>
                </c:pt>
                <c:pt idx="61">
                  <c:v>34516.455745841027</c:v>
                </c:pt>
                <c:pt idx="62">
                  <c:v>680.7309766728431</c:v>
                </c:pt>
                <c:pt idx="63">
                  <c:v>30835.543622065452</c:v>
                </c:pt>
                <c:pt idx="64">
                  <c:v>-42481.863782582921</c:v>
                </c:pt>
                <c:pt idx="65">
                  <c:v>855.39224296971224</c:v>
                </c:pt>
                <c:pt idx="66">
                  <c:v>-120170.35711770179</c:v>
                </c:pt>
                <c:pt idx="67">
                  <c:v>-360.48576745390892</c:v>
                </c:pt>
                <c:pt idx="68">
                  <c:v>64188.81280255504</c:v>
                </c:pt>
                <c:pt idx="69">
                  <c:v>-19463.755532871292</c:v>
                </c:pt>
                <c:pt idx="70">
                  <c:v>27700.287070938502</c:v>
                </c:pt>
                <c:pt idx="71">
                  <c:v>57966.1807999874</c:v>
                </c:pt>
                <c:pt idx="72">
                  <c:v>41772.549920268473</c:v>
                </c:pt>
                <c:pt idx="73">
                  <c:v>-46851.22866976331</c:v>
                </c:pt>
                <c:pt idx="74">
                  <c:v>59875.794305720483</c:v>
                </c:pt>
                <c:pt idx="75">
                  <c:v>-24007.139013185282</c:v>
                </c:pt>
                <c:pt idx="76">
                  <c:v>-6287.3637914309511</c:v>
                </c:pt>
                <c:pt idx="77">
                  <c:v>50170.653658417054</c:v>
                </c:pt>
                <c:pt idx="78">
                  <c:v>54056.620792727917</c:v>
                </c:pt>
                <c:pt idx="79">
                  <c:v>-23623.813940353459</c:v>
                </c:pt>
                <c:pt idx="80">
                  <c:v>-41651.086436572368</c:v>
                </c:pt>
                <c:pt idx="81">
                  <c:v>35124.346363039571</c:v>
                </c:pt>
                <c:pt idx="82">
                  <c:v>48294.896382076899</c:v>
                </c:pt>
                <c:pt idx="83">
                  <c:v>-2794.8386438991874</c:v>
                </c:pt>
                <c:pt idx="84">
                  <c:v>17762.03661343141</c:v>
                </c:pt>
                <c:pt idx="85">
                  <c:v>-31793.91916301637</c:v>
                </c:pt>
                <c:pt idx="86">
                  <c:v>21280.071147072827</c:v>
                </c:pt>
                <c:pt idx="87">
                  <c:v>-26980.296054578619</c:v>
                </c:pt>
                <c:pt idx="88">
                  <c:v>14286.863822647603</c:v>
                </c:pt>
                <c:pt idx="89">
                  <c:v>-136840.71864513063</c:v>
                </c:pt>
                <c:pt idx="90">
                  <c:v>3131.5243463251973</c:v>
                </c:pt>
                <c:pt idx="91">
                  <c:v>2877.9180714002578</c:v>
                </c:pt>
                <c:pt idx="92">
                  <c:v>-18952.364686118555</c:v>
                </c:pt>
                <c:pt idx="93">
                  <c:v>42745.08695959195</c:v>
                </c:pt>
                <c:pt idx="94">
                  <c:v>52921.286249568104</c:v>
                </c:pt>
                <c:pt idx="95">
                  <c:v>-10417.53375143616</c:v>
                </c:pt>
                <c:pt idx="96">
                  <c:v>16197.617903312668</c:v>
                </c:pt>
                <c:pt idx="97">
                  <c:v>70468.917773950263</c:v>
                </c:pt>
                <c:pt idx="98">
                  <c:v>-31931.485768343206</c:v>
                </c:pt>
                <c:pt idx="99">
                  <c:v>9093.4933646441204</c:v>
                </c:pt>
                <c:pt idx="100">
                  <c:v>26773.118131964584</c:v>
                </c:pt>
                <c:pt idx="101">
                  <c:v>-34332.634451703168</c:v>
                </c:pt>
                <c:pt idx="102">
                  <c:v>14398.253221078194</c:v>
                </c:pt>
                <c:pt idx="103">
                  <c:v>85085.517440497875</c:v>
                </c:pt>
                <c:pt idx="104">
                  <c:v>20506.411667698761</c:v>
                </c:pt>
                <c:pt idx="105">
                  <c:v>-12957.178447748534</c:v>
                </c:pt>
                <c:pt idx="106">
                  <c:v>70482.540947571862</c:v>
                </c:pt>
                <c:pt idx="107">
                  <c:v>35038.603001415846</c:v>
                </c:pt>
                <c:pt idx="108">
                  <c:v>22819.582587342476</c:v>
                </c:pt>
                <c:pt idx="109">
                  <c:v>32526.450751959928</c:v>
                </c:pt>
                <c:pt idx="110">
                  <c:v>-23659.43572090182</c:v>
                </c:pt>
                <c:pt idx="111">
                  <c:v>103010.1989714168</c:v>
                </c:pt>
                <c:pt idx="112">
                  <c:v>20126.535794188967</c:v>
                </c:pt>
                <c:pt idx="113">
                  <c:v>22612.252219594666</c:v>
                </c:pt>
                <c:pt idx="114">
                  <c:v>-54867.749300023657</c:v>
                </c:pt>
                <c:pt idx="115">
                  <c:v>-43608.920036173658</c:v>
                </c:pt>
                <c:pt idx="116">
                  <c:v>-14432.94429993513</c:v>
                </c:pt>
                <c:pt idx="117">
                  <c:v>82264.85913563543</c:v>
                </c:pt>
                <c:pt idx="118">
                  <c:v>-27160.773463901365</c:v>
                </c:pt>
                <c:pt idx="119">
                  <c:v>6448.5380510757677</c:v>
                </c:pt>
                <c:pt idx="120">
                  <c:v>-48816.035647674405</c:v>
                </c:pt>
                <c:pt idx="121">
                  <c:v>19370.769087649882</c:v>
                </c:pt>
                <c:pt idx="122">
                  <c:v>-48456.45856746682</c:v>
                </c:pt>
                <c:pt idx="123">
                  <c:v>-32457.478950919118</c:v>
                </c:pt>
                <c:pt idx="124">
                  <c:v>53394.336397785693</c:v>
                </c:pt>
                <c:pt idx="125">
                  <c:v>-39089.857947602984</c:v>
                </c:pt>
                <c:pt idx="126">
                  <c:v>39182.168982006027</c:v>
                </c:pt>
                <c:pt idx="127">
                  <c:v>-17858.20964467118</c:v>
                </c:pt>
                <c:pt idx="128">
                  <c:v>-8869.6437547001988</c:v>
                </c:pt>
                <c:pt idx="129">
                  <c:v>-9623.6413399900775</c:v>
                </c:pt>
                <c:pt idx="130">
                  <c:v>-62946.575765099144</c:v>
                </c:pt>
                <c:pt idx="131">
                  <c:v>5710.3082922669128</c:v>
                </c:pt>
                <c:pt idx="132">
                  <c:v>-52500.08545442007</c:v>
                </c:pt>
                <c:pt idx="133">
                  <c:v>-61910.418471824261</c:v>
                </c:pt>
                <c:pt idx="134">
                  <c:v>-21088.258370480267</c:v>
                </c:pt>
                <c:pt idx="135">
                  <c:v>-23758.133216966409</c:v>
                </c:pt>
                <c:pt idx="136">
                  <c:v>-75413.813159798854</c:v>
                </c:pt>
                <c:pt idx="137">
                  <c:v>53868.577908412903</c:v>
                </c:pt>
                <c:pt idx="138">
                  <c:v>46411.280167589895</c:v>
                </c:pt>
                <c:pt idx="139">
                  <c:v>35829.361005362938</c:v>
                </c:pt>
                <c:pt idx="140">
                  <c:v>30660.355736373691</c:v>
                </c:pt>
                <c:pt idx="141">
                  <c:v>7125.2799155449029</c:v>
                </c:pt>
                <c:pt idx="142">
                  <c:v>19493.505631878856</c:v>
                </c:pt>
                <c:pt idx="143">
                  <c:v>18199.499952201848</c:v>
                </c:pt>
                <c:pt idx="144">
                  <c:v>-15595.362641270272</c:v>
                </c:pt>
                <c:pt idx="145">
                  <c:v>881.35606109804939</c:v>
                </c:pt>
                <c:pt idx="146">
                  <c:v>14128.170648262021</c:v>
                </c:pt>
                <c:pt idx="147">
                  <c:v>17795.422129993793</c:v>
                </c:pt>
                <c:pt idx="148">
                  <c:v>3150.403854025295</c:v>
                </c:pt>
                <c:pt idx="149">
                  <c:v>6132.6893674083985</c:v>
                </c:pt>
                <c:pt idx="150">
                  <c:v>10164.122515875264</c:v>
                </c:pt>
                <c:pt idx="151">
                  <c:v>9467.6313016831409</c:v>
                </c:pt>
                <c:pt idx="152">
                  <c:v>-20135.015216761385</c:v>
                </c:pt>
                <c:pt idx="153">
                  <c:v>6456.8637851005187</c:v>
                </c:pt>
                <c:pt idx="154">
                  <c:v>-32876.283912083018</c:v>
                </c:pt>
                <c:pt idx="155">
                  <c:v>-10002.181274774484</c:v>
                </c:pt>
                <c:pt idx="156">
                  <c:v>-28404.088979803491</c:v>
                </c:pt>
                <c:pt idx="157">
                  <c:v>-5347.9929724195972</c:v>
                </c:pt>
                <c:pt idx="158">
                  <c:v>53497.103883391712</c:v>
                </c:pt>
                <c:pt idx="159">
                  <c:v>60306.732527774875</c:v>
                </c:pt>
                <c:pt idx="160">
                  <c:v>-47543.145602349192</c:v>
                </c:pt>
                <c:pt idx="161">
                  <c:v>60500.314172268612</c:v>
                </c:pt>
                <c:pt idx="162">
                  <c:v>-5647.5461347147357</c:v>
                </c:pt>
                <c:pt idx="163">
                  <c:v>-40103.968784231576</c:v>
                </c:pt>
                <c:pt idx="164">
                  <c:v>44796.406495142961</c:v>
                </c:pt>
                <c:pt idx="165">
                  <c:v>-17118.794310558238</c:v>
                </c:pt>
                <c:pt idx="166">
                  <c:v>-12350.017427559127</c:v>
                </c:pt>
                <c:pt idx="167">
                  <c:v>10449.068489386002</c:v>
                </c:pt>
                <c:pt idx="168">
                  <c:v>-148.63359227997717</c:v>
                </c:pt>
                <c:pt idx="169">
                  <c:v>-51672.923263326986</c:v>
                </c:pt>
                <c:pt idx="170">
                  <c:v>60569.949251605314</c:v>
                </c:pt>
                <c:pt idx="171">
                  <c:v>-3376.6331248490606</c:v>
                </c:pt>
                <c:pt idx="172">
                  <c:v>48882.495264162077</c:v>
                </c:pt>
                <c:pt idx="173">
                  <c:v>-8980.8317395133199</c:v>
                </c:pt>
                <c:pt idx="174">
                  <c:v>29837.458985192119</c:v>
                </c:pt>
                <c:pt idx="175">
                  <c:v>10911.577849830152</c:v>
                </c:pt>
                <c:pt idx="176">
                  <c:v>-9385.7302777195582</c:v>
                </c:pt>
                <c:pt idx="177">
                  <c:v>52011.409789351281</c:v>
                </c:pt>
                <c:pt idx="178">
                  <c:v>-8596.833454248379</c:v>
                </c:pt>
                <c:pt idx="179">
                  <c:v>56091.753690677346</c:v>
                </c:pt>
                <c:pt idx="180">
                  <c:v>-3066.3373703544494</c:v>
                </c:pt>
                <c:pt idx="181">
                  <c:v>40255.080880639725</c:v>
                </c:pt>
                <c:pt idx="182">
                  <c:v>-24038.976359180291</c:v>
                </c:pt>
                <c:pt idx="183">
                  <c:v>3395.2346933466615</c:v>
                </c:pt>
                <c:pt idx="184">
                  <c:v>-20079.260163720232</c:v>
                </c:pt>
                <c:pt idx="185">
                  <c:v>29385.839837141801</c:v>
                </c:pt>
                <c:pt idx="186">
                  <c:v>40916.812048225431</c:v>
                </c:pt>
                <c:pt idx="187">
                  <c:v>34199.35289636848</c:v>
                </c:pt>
                <c:pt idx="188">
                  <c:v>53585.863078828086</c:v>
                </c:pt>
                <c:pt idx="189">
                  <c:v>5263.2506373353535</c:v>
                </c:pt>
                <c:pt idx="190">
                  <c:v>-8587.6514988770941</c:v>
                </c:pt>
                <c:pt idx="191">
                  <c:v>-59284.550256077084</c:v>
                </c:pt>
                <c:pt idx="192">
                  <c:v>-40964.108003827743</c:v>
                </c:pt>
                <c:pt idx="193">
                  <c:v>682.48593378055375</c:v>
                </c:pt>
                <c:pt idx="194">
                  <c:v>-4011.0436678382102</c:v>
                </c:pt>
                <c:pt idx="195">
                  <c:v>-32860.317055252497</c:v>
                </c:pt>
                <c:pt idx="196">
                  <c:v>56275.331041630474</c:v>
                </c:pt>
                <c:pt idx="197">
                  <c:v>-4761.3214058810845</c:v>
                </c:pt>
                <c:pt idx="198">
                  <c:v>-33928.429912503343</c:v>
                </c:pt>
                <c:pt idx="199">
                  <c:v>72845.240612894646</c:v>
                </c:pt>
                <c:pt idx="200">
                  <c:v>-46917.573045362835</c:v>
                </c:pt>
                <c:pt idx="201">
                  <c:v>86279.24928665231</c:v>
                </c:pt>
                <c:pt idx="202">
                  <c:v>-54455.636152428109</c:v>
                </c:pt>
                <c:pt idx="203">
                  <c:v>-43850.093476596056</c:v>
                </c:pt>
                <c:pt idx="204">
                  <c:v>-33113.990990839433</c:v>
                </c:pt>
                <c:pt idx="205">
                  <c:v>46598.306641712436</c:v>
                </c:pt>
                <c:pt idx="206">
                  <c:v>-50906.778020127676</c:v>
                </c:pt>
                <c:pt idx="207">
                  <c:v>-75839.702043257537</c:v>
                </c:pt>
                <c:pt idx="208">
                  <c:v>123.71833813015837</c:v>
                </c:pt>
                <c:pt idx="209">
                  <c:v>-48872.973722524592</c:v>
                </c:pt>
                <c:pt idx="210">
                  <c:v>-34060.845078359707</c:v>
                </c:pt>
                <c:pt idx="211">
                  <c:v>28066.471833926975</c:v>
                </c:pt>
                <c:pt idx="212">
                  <c:v>21117.302884036792</c:v>
                </c:pt>
                <c:pt idx="213">
                  <c:v>40595.692596618668</c:v>
                </c:pt>
                <c:pt idx="214">
                  <c:v>-16812.014801504556</c:v>
                </c:pt>
                <c:pt idx="215">
                  <c:v>598.51920648652595</c:v>
                </c:pt>
                <c:pt idx="216">
                  <c:v>26025.659022423555</c:v>
                </c:pt>
                <c:pt idx="217">
                  <c:v>-3063.3556202448672</c:v>
                </c:pt>
                <c:pt idx="218">
                  <c:v>26850.128914538422</c:v>
                </c:pt>
                <c:pt idx="219">
                  <c:v>-2807.1277295114705</c:v>
                </c:pt>
                <c:pt idx="220">
                  <c:v>10897.77356014878</c:v>
                </c:pt>
                <c:pt idx="221">
                  <c:v>1157.1158485130873</c:v>
                </c:pt>
                <c:pt idx="222">
                  <c:v>9719.6165810024831</c:v>
                </c:pt>
                <c:pt idx="223">
                  <c:v>-20083.125723602832</c:v>
                </c:pt>
                <c:pt idx="224">
                  <c:v>19754.181081035524</c:v>
                </c:pt>
                <c:pt idx="225">
                  <c:v>17331.882313060632</c:v>
                </c:pt>
                <c:pt idx="226">
                  <c:v>17639.482270753419</c:v>
                </c:pt>
                <c:pt idx="227">
                  <c:v>34625.795192967693</c:v>
                </c:pt>
                <c:pt idx="228">
                  <c:v>-47676.296218240052</c:v>
                </c:pt>
                <c:pt idx="229">
                  <c:v>110819.99990903051</c:v>
                </c:pt>
                <c:pt idx="230">
                  <c:v>-28553.412231689319</c:v>
                </c:pt>
                <c:pt idx="231">
                  <c:v>43642.4985469518</c:v>
                </c:pt>
                <c:pt idx="232">
                  <c:v>31982.179456110578</c:v>
                </c:pt>
                <c:pt idx="233">
                  <c:v>66130.664959590998</c:v>
                </c:pt>
                <c:pt idx="234">
                  <c:v>-5803.2630763379857</c:v>
                </c:pt>
                <c:pt idx="235">
                  <c:v>-886.63335851894226</c:v>
                </c:pt>
                <c:pt idx="236">
                  <c:v>-86986.385719951126</c:v>
                </c:pt>
                <c:pt idx="237">
                  <c:v>14558.318097613403</c:v>
                </c:pt>
                <c:pt idx="238">
                  <c:v>-10748.393672713428</c:v>
                </c:pt>
                <c:pt idx="239">
                  <c:v>3157.2870303737</c:v>
                </c:pt>
                <c:pt idx="240">
                  <c:v>22576.132302148617</c:v>
                </c:pt>
                <c:pt idx="241">
                  <c:v>14413.480833314243</c:v>
                </c:pt>
                <c:pt idx="242">
                  <c:v>-15110.011629562126</c:v>
                </c:pt>
                <c:pt idx="243">
                  <c:v>-20775.354226146825</c:v>
                </c:pt>
                <c:pt idx="244">
                  <c:v>20589.52808484959</c:v>
                </c:pt>
                <c:pt idx="245">
                  <c:v>6287.4275936866179</c:v>
                </c:pt>
                <c:pt idx="246">
                  <c:v>-37849.083620063728</c:v>
                </c:pt>
                <c:pt idx="247">
                  <c:v>-3182.4075814061798</c:v>
                </c:pt>
                <c:pt idx="248">
                  <c:v>24392.823800886981</c:v>
                </c:pt>
                <c:pt idx="249">
                  <c:v>-11607.195198751055</c:v>
                </c:pt>
                <c:pt idx="250">
                  <c:v>-2467.8958372855559</c:v>
                </c:pt>
                <c:pt idx="251">
                  <c:v>18381.082281352952</c:v>
                </c:pt>
                <c:pt idx="252">
                  <c:v>2420.1852475143969</c:v>
                </c:pt>
                <c:pt idx="253">
                  <c:v>75447.127216263791</c:v>
                </c:pt>
                <c:pt idx="254">
                  <c:v>12759.961080445442</c:v>
                </c:pt>
                <c:pt idx="255">
                  <c:v>-64081.6998680291</c:v>
                </c:pt>
                <c:pt idx="256">
                  <c:v>44419.247003020486</c:v>
                </c:pt>
                <c:pt idx="257">
                  <c:v>-2793.9531538815936</c:v>
                </c:pt>
                <c:pt idx="258">
                  <c:v>-10052.702939797775</c:v>
                </c:pt>
                <c:pt idx="259">
                  <c:v>25382.579622060875</c:v>
                </c:pt>
                <c:pt idx="260">
                  <c:v>4725.3219386518467</c:v>
                </c:pt>
                <c:pt idx="261">
                  <c:v>-7412.177579630632</c:v>
                </c:pt>
                <c:pt idx="262">
                  <c:v>58746.49422014819</c:v>
                </c:pt>
                <c:pt idx="263">
                  <c:v>42122.637406225316</c:v>
                </c:pt>
                <c:pt idx="264">
                  <c:v>-8817.4396809748141</c:v>
                </c:pt>
                <c:pt idx="265">
                  <c:v>29176.882603146834</c:v>
                </c:pt>
                <c:pt idx="266">
                  <c:v>21709.663828375633</c:v>
                </c:pt>
                <c:pt idx="267">
                  <c:v>41590.126797560253</c:v>
                </c:pt>
                <c:pt idx="268">
                  <c:v>-78197.704151095357</c:v>
                </c:pt>
                <c:pt idx="269">
                  <c:v>36685.890697166789</c:v>
                </c:pt>
                <c:pt idx="270">
                  <c:v>-12270.662275606999</c:v>
                </c:pt>
                <c:pt idx="271">
                  <c:v>-71676.1810223395</c:v>
                </c:pt>
                <c:pt idx="272">
                  <c:v>1570.3956632815534</c:v>
                </c:pt>
                <c:pt idx="273">
                  <c:v>14381.80594981974</c:v>
                </c:pt>
                <c:pt idx="274">
                  <c:v>-28226.896114967414</c:v>
                </c:pt>
                <c:pt idx="275">
                  <c:v>73807.932987063308</c:v>
                </c:pt>
                <c:pt idx="276">
                  <c:v>-15911.753229797236</c:v>
                </c:pt>
                <c:pt idx="277">
                  <c:v>35809.044557659887</c:v>
                </c:pt>
                <c:pt idx="278">
                  <c:v>17106.776086810976</c:v>
                </c:pt>
                <c:pt idx="279">
                  <c:v>-16262.631826399243</c:v>
                </c:pt>
                <c:pt idx="280">
                  <c:v>-68593.072754206136</c:v>
                </c:pt>
                <c:pt idx="281">
                  <c:v>-47776.138373425696</c:v>
                </c:pt>
                <c:pt idx="282">
                  <c:v>4711.4849887607852</c:v>
                </c:pt>
                <c:pt idx="283">
                  <c:v>-2729.9521031922777</c:v>
                </c:pt>
                <c:pt idx="284">
                  <c:v>-35248.337235150044</c:v>
                </c:pt>
                <c:pt idx="285">
                  <c:v>-7146.0295742210001</c:v>
                </c:pt>
                <c:pt idx="286">
                  <c:v>-17401.964713119669</c:v>
                </c:pt>
                <c:pt idx="287">
                  <c:v>-26367.401635912247</c:v>
                </c:pt>
                <c:pt idx="288">
                  <c:v>43830.86175839114</c:v>
                </c:pt>
                <c:pt idx="289">
                  <c:v>-28499.782050056267</c:v>
                </c:pt>
                <c:pt idx="290">
                  <c:v>91938.425529706641</c:v>
                </c:pt>
                <c:pt idx="291">
                  <c:v>18596.986478833132</c:v>
                </c:pt>
                <c:pt idx="292">
                  <c:v>-34099.34999365313</c:v>
                </c:pt>
                <c:pt idx="293">
                  <c:v>-12515.21926884912</c:v>
                </c:pt>
                <c:pt idx="294">
                  <c:v>-8276.1797933765338</c:v>
                </c:pt>
                <c:pt idx="295">
                  <c:v>-7390.9481434519403</c:v>
                </c:pt>
                <c:pt idx="296">
                  <c:v>6650.0641166331479</c:v>
                </c:pt>
                <c:pt idx="297">
                  <c:v>71450.303520397749</c:v>
                </c:pt>
                <c:pt idx="298">
                  <c:v>-18711.380519887316</c:v>
                </c:pt>
                <c:pt idx="299">
                  <c:v>-33381.289869161788</c:v>
                </c:pt>
                <c:pt idx="300">
                  <c:v>-45772.240122534567</c:v>
                </c:pt>
                <c:pt idx="301">
                  <c:v>-12005.922708386672</c:v>
                </c:pt>
                <c:pt idx="302">
                  <c:v>-30629.451892433455</c:v>
                </c:pt>
                <c:pt idx="303">
                  <c:v>50965.566382167162</c:v>
                </c:pt>
                <c:pt idx="304">
                  <c:v>44529.563905676012</c:v>
                </c:pt>
                <c:pt idx="305">
                  <c:v>-52484.322024376597</c:v>
                </c:pt>
                <c:pt idx="306">
                  <c:v>39735.580276888912</c:v>
                </c:pt>
                <c:pt idx="307">
                  <c:v>-46733.732398830471</c:v>
                </c:pt>
                <c:pt idx="308">
                  <c:v>-13696.555735850707</c:v>
                </c:pt>
                <c:pt idx="309">
                  <c:v>-56061.420769223012</c:v>
                </c:pt>
                <c:pt idx="310">
                  <c:v>8306.6623806691496</c:v>
                </c:pt>
                <c:pt idx="311">
                  <c:v>-2862.8400411556941</c:v>
                </c:pt>
                <c:pt idx="312">
                  <c:v>27541.304690834833</c:v>
                </c:pt>
                <c:pt idx="313">
                  <c:v>-16409.630295615876</c:v>
                </c:pt>
                <c:pt idx="314">
                  <c:v>26223.89353635977</c:v>
                </c:pt>
                <c:pt idx="315">
                  <c:v>47369.933965802426</c:v>
                </c:pt>
                <c:pt idx="316">
                  <c:v>-59665.417330043041</c:v>
                </c:pt>
                <c:pt idx="317">
                  <c:v>16286.152617285727</c:v>
                </c:pt>
                <c:pt idx="318">
                  <c:v>589.03419552790001</c:v>
                </c:pt>
                <c:pt idx="319">
                  <c:v>1879.2515330739552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13-4E60-9FE2-FA321EA93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8432"/>
        <c:axId val="317179872"/>
      </c:scatterChart>
      <c:valAx>
        <c:axId val="31717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179872"/>
        <c:crosses val="autoZero"/>
        <c:crossBetween val="midCat"/>
      </c:valAx>
      <c:valAx>
        <c:axId val="317179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1784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39-4EB4-A266-3FDE8CC4B86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multiple_regression_data!$E$2:$E$321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39-4EB4-A266-3FDE8CC4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9392"/>
        <c:axId val="888855488"/>
      </c:scatterChart>
      <c:valAx>
        <c:axId val="31717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8855488"/>
        <c:crosses val="autoZero"/>
        <c:crossBetween val="midCat"/>
      </c:valAx>
      <c:valAx>
        <c:axId val="888855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179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BC-42C1-B5F5-DB8B8A3B2375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multiple_regression_data!$F$2:$F$321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BC-42C1-B5F5-DB8B8A3B2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526688"/>
        <c:axId val="372531968"/>
      </c:scatterChart>
      <c:valAx>
        <c:axId val="37252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531968"/>
        <c:crosses val="autoZero"/>
        <c:crossBetween val="midCat"/>
      </c:valAx>
      <c:valAx>
        <c:axId val="372531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526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multiple_regression_data!$G$2:$G$321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2C-43F5-99F1-407EB9A4A848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multiple_regression_data!$G$2:$G$321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2C-43F5-99F1-407EB9A4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531008"/>
        <c:axId val="372526688"/>
      </c:scatterChart>
      <c:valAx>
        <c:axId val="37253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526688"/>
        <c:crosses val="autoZero"/>
        <c:crossBetween val="midCat"/>
      </c:valAx>
      <c:valAx>
        <c:axId val="37252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531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staff_count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multiple_regression_data!$H$2:$H$321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07-426F-A242-131E7D2FFE7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multiple_regression_data!$H$2:$H$321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07-426F-A242-131E7D2F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101360"/>
        <c:axId val="1432113840"/>
      </c:scatterChart>
      <c:valAx>
        <c:axId val="143210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staff_count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113840"/>
        <c:crosses val="autoZero"/>
        <c:crossBetween val="midCat"/>
      </c:valAx>
      <c:valAx>
        <c:axId val="1432113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101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inventory_availability_pct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multiple_regression_data!$I$2:$I$321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6ED-9951-21005B7BE6B8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multiple_regression_data!$I$2:$I$321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6ED-9951-21005B7BE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107600"/>
        <c:axId val="1432117200"/>
      </c:scatterChart>
      <c:valAx>
        <c:axId val="143210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inventory_availability_pct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117200"/>
        <c:crosses val="autoZero"/>
        <c:crossBetween val="midCat"/>
      </c:valAx>
      <c:valAx>
        <c:axId val="1432117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107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competitor_distance_km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multiple_regression_data!$J$2:$J$321</c:f>
              <c:numCache>
                <c:formatCode>General</c:formatCode>
                <c:ptCount val="320"/>
                <c:pt idx="0">
                  <c:v>5.28</c:v>
                </c:pt>
                <c:pt idx="1">
                  <c:v>4.3099999999999996</c:v>
                </c:pt>
                <c:pt idx="2">
                  <c:v>12</c:v>
                </c:pt>
                <c:pt idx="3">
                  <c:v>4.97</c:v>
                </c:pt>
                <c:pt idx="4">
                  <c:v>6.94</c:v>
                </c:pt>
                <c:pt idx="5">
                  <c:v>2.88</c:v>
                </c:pt>
                <c:pt idx="6">
                  <c:v>0.2</c:v>
                </c:pt>
                <c:pt idx="7">
                  <c:v>0.8</c:v>
                </c:pt>
                <c:pt idx="8">
                  <c:v>7.7</c:v>
                </c:pt>
                <c:pt idx="9">
                  <c:v>1.91</c:v>
                </c:pt>
                <c:pt idx="10">
                  <c:v>10.46</c:v>
                </c:pt>
                <c:pt idx="11">
                  <c:v>7.16</c:v>
                </c:pt>
                <c:pt idx="12">
                  <c:v>4.24</c:v>
                </c:pt>
                <c:pt idx="13">
                  <c:v>1.06</c:v>
                </c:pt>
                <c:pt idx="14">
                  <c:v>0.27</c:v>
                </c:pt>
                <c:pt idx="15">
                  <c:v>1.32</c:v>
                </c:pt>
                <c:pt idx="16">
                  <c:v>1.22</c:v>
                </c:pt>
                <c:pt idx="17">
                  <c:v>4.01</c:v>
                </c:pt>
                <c:pt idx="18">
                  <c:v>0.2</c:v>
                </c:pt>
                <c:pt idx="19">
                  <c:v>0.5</c:v>
                </c:pt>
                <c:pt idx="20">
                  <c:v>6.95</c:v>
                </c:pt>
                <c:pt idx="21">
                  <c:v>0.2</c:v>
                </c:pt>
                <c:pt idx="22">
                  <c:v>1.61</c:v>
                </c:pt>
                <c:pt idx="23">
                  <c:v>1.55</c:v>
                </c:pt>
                <c:pt idx="24">
                  <c:v>2.99</c:v>
                </c:pt>
                <c:pt idx="25">
                  <c:v>7.04</c:v>
                </c:pt>
                <c:pt idx="26">
                  <c:v>4.9400000000000004</c:v>
                </c:pt>
                <c:pt idx="27">
                  <c:v>16.149999999999999</c:v>
                </c:pt>
                <c:pt idx="28">
                  <c:v>0.48</c:v>
                </c:pt>
                <c:pt idx="29">
                  <c:v>0.31</c:v>
                </c:pt>
                <c:pt idx="30">
                  <c:v>3.01</c:v>
                </c:pt>
                <c:pt idx="31">
                  <c:v>12.15</c:v>
                </c:pt>
                <c:pt idx="32">
                  <c:v>11.71</c:v>
                </c:pt>
                <c:pt idx="33">
                  <c:v>0.62</c:v>
                </c:pt>
                <c:pt idx="34">
                  <c:v>2.12</c:v>
                </c:pt>
                <c:pt idx="35">
                  <c:v>6.31</c:v>
                </c:pt>
                <c:pt idx="36">
                  <c:v>9.56</c:v>
                </c:pt>
                <c:pt idx="37">
                  <c:v>9.0500000000000007</c:v>
                </c:pt>
                <c:pt idx="38">
                  <c:v>5.05</c:v>
                </c:pt>
                <c:pt idx="39">
                  <c:v>0.89</c:v>
                </c:pt>
                <c:pt idx="40">
                  <c:v>5.57</c:v>
                </c:pt>
                <c:pt idx="41">
                  <c:v>1.06</c:v>
                </c:pt>
                <c:pt idx="42">
                  <c:v>1.24</c:v>
                </c:pt>
                <c:pt idx="43">
                  <c:v>4.5199999999999996</c:v>
                </c:pt>
                <c:pt idx="44">
                  <c:v>9.58</c:v>
                </c:pt>
                <c:pt idx="45">
                  <c:v>5.52</c:v>
                </c:pt>
                <c:pt idx="46">
                  <c:v>2.7</c:v>
                </c:pt>
                <c:pt idx="47">
                  <c:v>9.64</c:v>
                </c:pt>
                <c:pt idx="48">
                  <c:v>3.49</c:v>
                </c:pt>
                <c:pt idx="49">
                  <c:v>9.11</c:v>
                </c:pt>
                <c:pt idx="50">
                  <c:v>7.4</c:v>
                </c:pt>
                <c:pt idx="51">
                  <c:v>7.16</c:v>
                </c:pt>
                <c:pt idx="52">
                  <c:v>22.02</c:v>
                </c:pt>
                <c:pt idx="53">
                  <c:v>6.18</c:v>
                </c:pt>
                <c:pt idx="54">
                  <c:v>1.76</c:v>
                </c:pt>
                <c:pt idx="55">
                  <c:v>0.47</c:v>
                </c:pt>
                <c:pt idx="56">
                  <c:v>0.2</c:v>
                </c:pt>
                <c:pt idx="57">
                  <c:v>5.1100000000000003</c:v>
                </c:pt>
                <c:pt idx="58">
                  <c:v>0.2</c:v>
                </c:pt>
                <c:pt idx="59">
                  <c:v>13.59</c:v>
                </c:pt>
                <c:pt idx="60">
                  <c:v>1.02</c:v>
                </c:pt>
                <c:pt idx="61">
                  <c:v>1.64</c:v>
                </c:pt>
                <c:pt idx="62">
                  <c:v>5.15</c:v>
                </c:pt>
                <c:pt idx="63">
                  <c:v>1.1100000000000001</c:v>
                </c:pt>
                <c:pt idx="64">
                  <c:v>6.08</c:v>
                </c:pt>
                <c:pt idx="65">
                  <c:v>10.91</c:v>
                </c:pt>
                <c:pt idx="66">
                  <c:v>19.010000000000002</c:v>
                </c:pt>
                <c:pt idx="67">
                  <c:v>0.77</c:v>
                </c:pt>
                <c:pt idx="68">
                  <c:v>2.83</c:v>
                </c:pt>
                <c:pt idx="69">
                  <c:v>2.33</c:v>
                </c:pt>
                <c:pt idx="70">
                  <c:v>1.43</c:v>
                </c:pt>
                <c:pt idx="71" formatCode="0.00">
                  <c:v>4.5999999999999996</c:v>
                </c:pt>
                <c:pt idx="72">
                  <c:v>4.91</c:v>
                </c:pt>
                <c:pt idx="73">
                  <c:v>7.03</c:v>
                </c:pt>
                <c:pt idx="74">
                  <c:v>0.28000000000000003</c:v>
                </c:pt>
                <c:pt idx="75">
                  <c:v>3.61</c:v>
                </c:pt>
                <c:pt idx="76">
                  <c:v>7.52</c:v>
                </c:pt>
                <c:pt idx="77">
                  <c:v>2.58</c:v>
                </c:pt>
                <c:pt idx="78">
                  <c:v>2.29</c:v>
                </c:pt>
                <c:pt idx="79">
                  <c:v>2.39</c:v>
                </c:pt>
                <c:pt idx="80">
                  <c:v>5.24</c:v>
                </c:pt>
                <c:pt idx="81">
                  <c:v>3.17</c:v>
                </c:pt>
                <c:pt idx="82">
                  <c:v>2.66</c:v>
                </c:pt>
                <c:pt idx="83">
                  <c:v>1.41</c:v>
                </c:pt>
                <c:pt idx="84">
                  <c:v>7.34</c:v>
                </c:pt>
                <c:pt idx="85">
                  <c:v>5.95</c:v>
                </c:pt>
                <c:pt idx="86">
                  <c:v>15.51</c:v>
                </c:pt>
                <c:pt idx="87">
                  <c:v>4.3099999999999996</c:v>
                </c:pt>
                <c:pt idx="88">
                  <c:v>6.61</c:v>
                </c:pt>
                <c:pt idx="89">
                  <c:v>4.26</c:v>
                </c:pt>
                <c:pt idx="90">
                  <c:v>5.75</c:v>
                </c:pt>
                <c:pt idx="91">
                  <c:v>0.33</c:v>
                </c:pt>
                <c:pt idx="92">
                  <c:v>2.92</c:v>
                </c:pt>
                <c:pt idx="93">
                  <c:v>1.64</c:v>
                </c:pt>
                <c:pt idx="94">
                  <c:v>0.8</c:v>
                </c:pt>
                <c:pt idx="95">
                  <c:v>5.79</c:v>
                </c:pt>
                <c:pt idx="96">
                  <c:v>19.600000000000001</c:v>
                </c:pt>
                <c:pt idx="97">
                  <c:v>7.57</c:v>
                </c:pt>
                <c:pt idx="98" formatCode="0.00">
                  <c:v>4.5999999999999996</c:v>
                </c:pt>
                <c:pt idx="99">
                  <c:v>2.7</c:v>
                </c:pt>
                <c:pt idx="100">
                  <c:v>0.2</c:v>
                </c:pt>
                <c:pt idx="101">
                  <c:v>7.87</c:v>
                </c:pt>
                <c:pt idx="102">
                  <c:v>0.77</c:v>
                </c:pt>
                <c:pt idx="103">
                  <c:v>1.48</c:v>
                </c:pt>
                <c:pt idx="104">
                  <c:v>2.87</c:v>
                </c:pt>
                <c:pt idx="105">
                  <c:v>2.83</c:v>
                </c:pt>
                <c:pt idx="106">
                  <c:v>0.25</c:v>
                </c:pt>
                <c:pt idx="107">
                  <c:v>13.33</c:v>
                </c:pt>
                <c:pt idx="108">
                  <c:v>6.35</c:v>
                </c:pt>
                <c:pt idx="109">
                  <c:v>6.69</c:v>
                </c:pt>
                <c:pt idx="110">
                  <c:v>1.28</c:v>
                </c:pt>
                <c:pt idx="111">
                  <c:v>0.92</c:v>
                </c:pt>
                <c:pt idx="112">
                  <c:v>1.05</c:v>
                </c:pt>
                <c:pt idx="113">
                  <c:v>2.67</c:v>
                </c:pt>
                <c:pt idx="114">
                  <c:v>5.91</c:v>
                </c:pt>
                <c:pt idx="115">
                  <c:v>6.37</c:v>
                </c:pt>
                <c:pt idx="116">
                  <c:v>2.4900000000000002</c:v>
                </c:pt>
                <c:pt idx="117">
                  <c:v>1.56</c:v>
                </c:pt>
                <c:pt idx="118">
                  <c:v>14.95</c:v>
                </c:pt>
                <c:pt idx="119">
                  <c:v>7.85</c:v>
                </c:pt>
                <c:pt idx="120">
                  <c:v>6.8</c:v>
                </c:pt>
                <c:pt idx="121">
                  <c:v>2.2000000000000002</c:v>
                </c:pt>
                <c:pt idx="122">
                  <c:v>1.88</c:v>
                </c:pt>
                <c:pt idx="123">
                  <c:v>15.79</c:v>
                </c:pt>
                <c:pt idx="124">
                  <c:v>2.34</c:v>
                </c:pt>
                <c:pt idx="125">
                  <c:v>0.54</c:v>
                </c:pt>
                <c:pt idx="126">
                  <c:v>5.37</c:v>
                </c:pt>
                <c:pt idx="127">
                  <c:v>3.19</c:v>
                </c:pt>
                <c:pt idx="128">
                  <c:v>1.1000000000000001</c:v>
                </c:pt>
                <c:pt idx="129">
                  <c:v>0.21</c:v>
                </c:pt>
                <c:pt idx="130">
                  <c:v>5.12</c:v>
                </c:pt>
                <c:pt idx="131">
                  <c:v>9.77</c:v>
                </c:pt>
                <c:pt idx="132">
                  <c:v>3.77</c:v>
                </c:pt>
                <c:pt idx="133">
                  <c:v>0.78</c:v>
                </c:pt>
                <c:pt idx="134">
                  <c:v>5.17</c:v>
                </c:pt>
                <c:pt idx="135">
                  <c:v>3.2</c:v>
                </c:pt>
                <c:pt idx="136">
                  <c:v>3.4</c:v>
                </c:pt>
                <c:pt idx="137">
                  <c:v>7.38</c:v>
                </c:pt>
                <c:pt idx="138">
                  <c:v>0.85</c:v>
                </c:pt>
                <c:pt idx="139">
                  <c:v>2.89</c:v>
                </c:pt>
                <c:pt idx="140">
                  <c:v>0.77</c:v>
                </c:pt>
                <c:pt idx="141">
                  <c:v>2.92</c:v>
                </c:pt>
                <c:pt idx="142">
                  <c:v>3.07</c:v>
                </c:pt>
                <c:pt idx="143">
                  <c:v>9.6999999999999993</c:v>
                </c:pt>
                <c:pt idx="144">
                  <c:v>3.71</c:v>
                </c:pt>
                <c:pt idx="145">
                  <c:v>10.79</c:v>
                </c:pt>
                <c:pt idx="146">
                  <c:v>6.03</c:v>
                </c:pt>
                <c:pt idx="147">
                  <c:v>4.92</c:v>
                </c:pt>
                <c:pt idx="148">
                  <c:v>19.78</c:v>
                </c:pt>
                <c:pt idx="149">
                  <c:v>5.45</c:v>
                </c:pt>
                <c:pt idx="150">
                  <c:v>2.33</c:v>
                </c:pt>
                <c:pt idx="151">
                  <c:v>3.55</c:v>
                </c:pt>
                <c:pt idx="152">
                  <c:v>0.2</c:v>
                </c:pt>
                <c:pt idx="153">
                  <c:v>2.09</c:v>
                </c:pt>
                <c:pt idx="154">
                  <c:v>2.2599999999999998</c:v>
                </c:pt>
                <c:pt idx="155">
                  <c:v>0.44</c:v>
                </c:pt>
                <c:pt idx="156">
                  <c:v>3.08</c:v>
                </c:pt>
                <c:pt idx="157">
                  <c:v>7.99</c:v>
                </c:pt>
                <c:pt idx="158">
                  <c:v>0.2</c:v>
                </c:pt>
                <c:pt idx="159">
                  <c:v>5.46</c:v>
                </c:pt>
                <c:pt idx="160">
                  <c:v>4.05</c:v>
                </c:pt>
                <c:pt idx="161">
                  <c:v>4.3600000000000003</c:v>
                </c:pt>
                <c:pt idx="162" formatCode="0.00">
                  <c:v>4.5999999999999996</c:v>
                </c:pt>
                <c:pt idx="163">
                  <c:v>0.54</c:v>
                </c:pt>
                <c:pt idx="164">
                  <c:v>11.37</c:v>
                </c:pt>
                <c:pt idx="165">
                  <c:v>9.43</c:v>
                </c:pt>
                <c:pt idx="166">
                  <c:v>3.49</c:v>
                </c:pt>
                <c:pt idx="167">
                  <c:v>7.86</c:v>
                </c:pt>
                <c:pt idx="168">
                  <c:v>12.55</c:v>
                </c:pt>
                <c:pt idx="169">
                  <c:v>3.48</c:v>
                </c:pt>
                <c:pt idx="170">
                  <c:v>7.73</c:v>
                </c:pt>
                <c:pt idx="171">
                  <c:v>0.25</c:v>
                </c:pt>
                <c:pt idx="172">
                  <c:v>6.43</c:v>
                </c:pt>
                <c:pt idx="173">
                  <c:v>2.11</c:v>
                </c:pt>
                <c:pt idx="174">
                  <c:v>9.1199999999999992</c:v>
                </c:pt>
                <c:pt idx="175">
                  <c:v>2.71</c:v>
                </c:pt>
                <c:pt idx="176">
                  <c:v>3.65</c:v>
                </c:pt>
                <c:pt idx="177">
                  <c:v>7.86</c:v>
                </c:pt>
                <c:pt idx="178">
                  <c:v>0.3</c:v>
                </c:pt>
                <c:pt idx="179">
                  <c:v>8.44</c:v>
                </c:pt>
                <c:pt idx="180">
                  <c:v>5.27</c:v>
                </c:pt>
                <c:pt idx="181">
                  <c:v>13.22</c:v>
                </c:pt>
                <c:pt idx="182">
                  <c:v>1.02</c:v>
                </c:pt>
                <c:pt idx="183">
                  <c:v>4.03</c:v>
                </c:pt>
                <c:pt idx="184">
                  <c:v>2.34</c:v>
                </c:pt>
                <c:pt idx="185">
                  <c:v>8.51</c:v>
                </c:pt>
                <c:pt idx="186">
                  <c:v>0.48</c:v>
                </c:pt>
                <c:pt idx="187">
                  <c:v>13.62</c:v>
                </c:pt>
                <c:pt idx="188">
                  <c:v>7.77</c:v>
                </c:pt>
                <c:pt idx="189">
                  <c:v>1.99</c:v>
                </c:pt>
                <c:pt idx="190">
                  <c:v>4.7699999999999996</c:v>
                </c:pt>
                <c:pt idx="191">
                  <c:v>0.2</c:v>
                </c:pt>
                <c:pt idx="192">
                  <c:v>0.53</c:v>
                </c:pt>
                <c:pt idx="193">
                  <c:v>1.54</c:v>
                </c:pt>
                <c:pt idx="194">
                  <c:v>3.63</c:v>
                </c:pt>
                <c:pt idx="195">
                  <c:v>13.48</c:v>
                </c:pt>
                <c:pt idx="196">
                  <c:v>0.2</c:v>
                </c:pt>
                <c:pt idx="197">
                  <c:v>12.82</c:v>
                </c:pt>
                <c:pt idx="198">
                  <c:v>2.2400000000000002</c:v>
                </c:pt>
                <c:pt idx="199">
                  <c:v>1.8</c:v>
                </c:pt>
                <c:pt idx="200">
                  <c:v>0.41</c:v>
                </c:pt>
                <c:pt idx="201">
                  <c:v>3.05</c:v>
                </c:pt>
                <c:pt idx="202">
                  <c:v>8.44</c:v>
                </c:pt>
                <c:pt idx="203">
                  <c:v>0.78</c:v>
                </c:pt>
                <c:pt idx="204">
                  <c:v>0.87</c:v>
                </c:pt>
                <c:pt idx="205">
                  <c:v>0.95</c:v>
                </c:pt>
                <c:pt idx="206">
                  <c:v>3.82</c:v>
                </c:pt>
                <c:pt idx="207">
                  <c:v>2.7</c:v>
                </c:pt>
                <c:pt idx="208">
                  <c:v>3.84</c:v>
                </c:pt>
                <c:pt idx="209">
                  <c:v>5.09</c:v>
                </c:pt>
                <c:pt idx="210">
                  <c:v>3.82</c:v>
                </c:pt>
                <c:pt idx="211">
                  <c:v>12.28</c:v>
                </c:pt>
                <c:pt idx="212">
                  <c:v>2.8</c:v>
                </c:pt>
                <c:pt idx="213">
                  <c:v>3.67</c:v>
                </c:pt>
                <c:pt idx="214">
                  <c:v>2.81</c:v>
                </c:pt>
                <c:pt idx="215">
                  <c:v>2.44</c:v>
                </c:pt>
                <c:pt idx="216">
                  <c:v>3.27</c:v>
                </c:pt>
                <c:pt idx="217">
                  <c:v>10.34</c:v>
                </c:pt>
                <c:pt idx="218">
                  <c:v>1.92</c:v>
                </c:pt>
                <c:pt idx="219">
                  <c:v>3.1</c:v>
                </c:pt>
                <c:pt idx="220">
                  <c:v>6.34</c:v>
                </c:pt>
                <c:pt idx="221">
                  <c:v>1.2</c:v>
                </c:pt>
                <c:pt idx="222">
                  <c:v>4.5</c:v>
                </c:pt>
                <c:pt idx="223">
                  <c:v>6.68</c:v>
                </c:pt>
                <c:pt idx="224">
                  <c:v>4.07</c:v>
                </c:pt>
                <c:pt idx="225">
                  <c:v>5.45</c:v>
                </c:pt>
                <c:pt idx="226">
                  <c:v>15.58</c:v>
                </c:pt>
                <c:pt idx="227">
                  <c:v>5.32</c:v>
                </c:pt>
                <c:pt idx="228">
                  <c:v>0.37</c:v>
                </c:pt>
                <c:pt idx="229">
                  <c:v>21.63</c:v>
                </c:pt>
                <c:pt idx="230">
                  <c:v>2.48</c:v>
                </c:pt>
                <c:pt idx="231" formatCode="0.00">
                  <c:v>4.5999999999999996</c:v>
                </c:pt>
                <c:pt idx="232">
                  <c:v>0.85</c:v>
                </c:pt>
                <c:pt idx="233">
                  <c:v>2.13</c:v>
                </c:pt>
                <c:pt idx="234">
                  <c:v>1.46</c:v>
                </c:pt>
                <c:pt idx="235">
                  <c:v>3.02</c:v>
                </c:pt>
                <c:pt idx="236">
                  <c:v>3.22</c:v>
                </c:pt>
                <c:pt idx="237">
                  <c:v>15.66</c:v>
                </c:pt>
                <c:pt idx="238">
                  <c:v>6.96</c:v>
                </c:pt>
                <c:pt idx="239">
                  <c:v>4.62</c:v>
                </c:pt>
                <c:pt idx="240">
                  <c:v>10.68</c:v>
                </c:pt>
                <c:pt idx="241">
                  <c:v>4.04</c:v>
                </c:pt>
                <c:pt idx="242">
                  <c:v>1.87</c:v>
                </c:pt>
                <c:pt idx="243">
                  <c:v>2.83</c:v>
                </c:pt>
                <c:pt idx="244">
                  <c:v>0.95</c:v>
                </c:pt>
                <c:pt idx="245">
                  <c:v>0.8</c:v>
                </c:pt>
                <c:pt idx="246">
                  <c:v>0.2</c:v>
                </c:pt>
                <c:pt idx="247">
                  <c:v>1.7</c:v>
                </c:pt>
                <c:pt idx="248" formatCode="0.00">
                  <c:v>4.5999999999999996</c:v>
                </c:pt>
                <c:pt idx="249">
                  <c:v>5.0999999999999996</c:v>
                </c:pt>
                <c:pt idx="250">
                  <c:v>0.83</c:v>
                </c:pt>
                <c:pt idx="251">
                  <c:v>1.1399999999999999</c:v>
                </c:pt>
                <c:pt idx="252">
                  <c:v>9.5399999999999991</c:v>
                </c:pt>
                <c:pt idx="253">
                  <c:v>5.48</c:v>
                </c:pt>
                <c:pt idx="254">
                  <c:v>0.84</c:v>
                </c:pt>
                <c:pt idx="255">
                  <c:v>4.1900000000000004</c:v>
                </c:pt>
                <c:pt idx="256">
                  <c:v>1.26</c:v>
                </c:pt>
                <c:pt idx="257">
                  <c:v>2.74</c:v>
                </c:pt>
                <c:pt idx="258">
                  <c:v>3.69</c:v>
                </c:pt>
                <c:pt idx="259">
                  <c:v>1.82</c:v>
                </c:pt>
                <c:pt idx="260">
                  <c:v>6.62</c:v>
                </c:pt>
                <c:pt idx="261" formatCode="0.00">
                  <c:v>4.5999999999999996</c:v>
                </c:pt>
                <c:pt idx="262">
                  <c:v>6.92</c:v>
                </c:pt>
                <c:pt idx="263">
                  <c:v>11.78</c:v>
                </c:pt>
                <c:pt idx="264">
                  <c:v>0.5</c:v>
                </c:pt>
                <c:pt idx="265">
                  <c:v>0.88</c:v>
                </c:pt>
                <c:pt idx="266">
                  <c:v>2.25</c:v>
                </c:pt>
                <c:pt idx="267">
                  <c:v>0.28999999999999998</c:v>
                </c:pt>
                <c:pt idx="268">
                  <c:v>0.65</c:v>
                </c:pt>
                <c:pt idx="269">
                  <c:v>0.2</c:v>
                </c:pt>
                <c:pt idx="270">
                  <c:v>3.63</c:v>
                </c:pt>
                <c:pt idx="271">
                  <c:v>0.2</c:v>
                </c:pt>
                <c:pt idx="272">
                  <c:v>6.23</c:v>
                </c:pt>
                <c:pt idx="273">
                  <c:v>1.04</c:v>
                </c:pt>
                <c:pt idx="274">
                  <c:v>1.76</c:v>
                </c:pt>
                <c:pt idx="275">
                  <c:v>2.86</c:v>
                </c:pt>
                <c:pt idx="276">
                  <c:v>18.14</c:v>
                </c:pt>
                <c:pt idx="277">
                  <c:v>3.39</c:v>
                </c:pt>
                <c:pt idx="278">
                  <c:v>1.44</c:v>
                </c:pt>
                <c:pt idx="279">
                  <c:v>3.65</c:v>
                </c:pt>
                <c:pt idx="280">
                  <c:v>1.23</c:v>
                </c:pt>
                <c:pt idx="281">
                  <c:v>3.09</c:v>
                </c:pt>
                <c:pt idx="282">
                  <c:v>3.15</c:v>
                </c:pt>
                <c:pt idx="283">
                  <c:v>6.44</c:v>
                </c:pt>
                <c:pt idx="284">
                  <c:v>0.2</c:v>
                </c:pt>
                <c:pt idx="285">
                  <c:v>0.59</c:v>
                </c:pt>
                <c:pt idx="286">
                  <c:v>0.2</c:v>
                </c:pt>
                <c:pt idx="287">
                  <c:v>1.36</c:v>
                </c:pt>
                <c:pt idx="288">
                  <c:v>3.34</c:v>
                </c:pt>
                <c:pt idx="289">
                  <c:v>0.33</c:v>
                </c:pt>
                <c:pt idx="290">
                  <c:v>3.44</c:v>
                </c:pt>
                <c:pt idx="291">
                  <c:v>5.33</c:v>
                </c:pt>
                <c:pt idx="292">
                  <c:v>6.04</c:v>
                </c:pt>
                <c:pt idx="293">
                  <c:v>1.6</c:v>
                </c:pt>
                <c:pt idx="294">
                  <c:v>8.9600000000000009</c:v>
                </c:pt>
                <c:pt idx="295">
                  <c:v>0.74</c:v>
                </c:pt>
                <c:pt idx="296">
                  <c:v>6.13</c:v>
                </c:pt>
                <c:pt idx="297">
                  <c:v>1.41</c:v>
                </c:pt>
                <c:pt idx="298">
                  <c:v>3.75</c:v>
                </c:pt>
                <c:pt idx="299">
                  <c:v>15.06</c:v>
                </c:pt>
                <c:pt idx="300">
                  <c:v>5.07</c:v>
                </c:pt>
                <c:pt idx="301">
                  <c:v>3.6</c:v>
                </c:pt>
                <c:pt idx="302">
                  <c:v>4.3899999999999997</c:v>
                </c:pt>
                <c:pt idx="303">
                  <c:v>2.79</c:v>
                </c:pt>
                <c:pt idx="304">
                  <c:v>1.56</c:v>
                </c:pt>
                <c:pt idx="305">
                  <c:v>15.82</c:v>
                </c:pt>
                <c:pt idx="306">
                  <c:v>1.17</c:v>
                </c:pt>
                <c:pt idx="307">
                  <c:v>3.82</c:v>
                </c:pt>
                <c:pt idx="308">
                  <c:v>4.1399999999999997</c:v>
                </c:pt>
                <c:pt idx="309">
                  <c:v>1.1000000000000001</c:v>
                </c:pt>
                <c:pt idx="310">
                  <c:v>10.6</c:v>
                </c:pt>
                <c:pt idx="311">
                  <c:v>0.9</c:v>
                </c:pt>
                <c:pt idx="312">
                  <c:v>0.2</c:v>
                </c:pt>
                <c:pt idx="313">
                  <c:v>4.67</c:v>
                </c:pt>
                <c:pt idx="314">
                  <c:v>4.38</c:v>
                </c:pt>
                <c:pt idx="315">
                  <c:v>4.4800000000000004</c:v>
                </c:pt>
                <c:pt idx="316">
                  <c:v>1.02</c:v>
                </c:pt>
                <c:pt idx="317">
                  <c:v>0.2</c:v>
                </c:pt>
                <c:pt idx="318">
                  <c:v>4.8899999999999997</c:v>
                </c:pt>
                <c:pt idx="319">
                  <c:v>11.82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B4-4E7F-A735-D66817A86C0E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multiple_regression_data!$J$2:$J$321</c:f>
              <c:numCache>
                <c:formatCode>General</c:formatCode>
                <c:ptCount val="320"/>
                <c:pt idx="0">
                  <c:v>5.28</c:v>
                </c:pt>
                <c:pt idx="1">
                  <c:v>4.3099999999999996</c:v>
                </c:pt>
                <c:pt idx="2">
                  <c:v>12</c:v>
                </c:pt>
                <c:pt idx="3">
                  <c:v>4.97</c:v>
                </c:pt>
                <c:pt idx="4">
                  <c:v>6.94</c:v>
                </c:pt>
                <c:pt idx="5">
                  <c:v>2.88</c:v>
                </c:pt>
                <c:pt idx="6">
                  <c:v>0.2</c:v>
                </c:pt>
                <c:pt idx="7">
                  <c:v>0.8</c:v>
                </c:pt>
                <c:pt idx="8">
                  <c:v>7.7</c:v>
                </c:pt>
                <c:pt idx="9">
                  <c:v>1.91</c:v>
                </c:pt>
                <c:pt idx="10">
                  <c:v>10.46</c:v>
                </c:pt>
                <c:pt idx="11">
                  <c:v>7.16</c:v>
                </c:pt>
                <c:pt idx="12">
                  <c:v>4.24</c:v>
                </c:pt>
                <c:pt idx="13">
                  <c:v>1.06</c:v>
                </c:pt>
                <c:pt idx="14">
                  <c:v>0.27</c:v>
                </c:pt>
                <c:pt idx="15">
                  <c:v>1.32</c:v>
                </c:pt>
                <c:pt idx="16">
                  <c:v>1.22</c:v>
                </c:pt>
                <c:pt idx="17">
                  <c:v>4.01</c:v>
                </c:pt>
                <c:pt idx="18">
                  <c:v>0.2</c:v>
                </c:pt>
                <c:pt idx="19">
                  <c:v>0.5</c:v>
                </c:pt>
                <c:pt idx="20">
                  <c:v>6.95</c:v>
                </c:pt>
                <c:pt idx="21">
                  <c:v>0.2</c:v>
                </c:pt>
                <c:pt idx="22">
                  <c:v>1.61</c:v>
                </c:pt>
                <c:pt idx="23">
                  <c:v>1.55</c:v>
                </c:pt>
                <c:pt idx="24">
                  <c:v>2.99</c:v>
                </c:pt>
                <c:pt idx="25">
                  <c:v>7.04</c:v>
                </c:pt>
                <c:pt idx="26">
                  <c:v>4.9400000000000004</c:v>
                </c:pt>
                <c:pt idx="27">
                  <c:v>16.149999999999999</c:v>
                </c:pt>
                <c:pt idx="28">
                  <c:v>0.48</c:v>
                </c:pt>
                <c:pt idx="29">
                  <c:v>0.31</c:v>
                </c:pt>
                <c:pt idx="30">
                  <c:v>3.01</c:v>
                </c:pt>
                <c:pt idx="31">
                  <c:v>12.15</c:v>
                </c:pt>
                <c:pt idx="32">
                  <c:v>11.71</c:v>
                </c:pt>
                <c:pt idx="33">
                  <c:v>0.62</c:v>
                </c:pt>
                <c:pt idx="34">
                  <c:v>2.12</c:v>
                </c:pt>
                <c:pt idx="35">
                  <c:v>6.31</c:v>
                </c:pt>
                <c:pt idx="36">
                  <c:v>9.56</c:v>
                </c:pt>
                <c:pt idx="37">
                  <c:v>9.0500000000000007</c:v>
                </c:pt>
                <c:pt idx="38">
                  <c:v>5.05</c:v>
                </c:pt>
                <c:pt idx="39">
                  <c:v>0.89</c:v>
                </c:pt>
                <c:pt idx="40">
                  <c:v>5.57</c:v>
                </c:pt>
                <c:pt idx="41">
                  <c:v>1.06</c:v>
                </c:pt>
                <c:pt idx="42">
                  <c:v>1.24</c:v>
                </c:pt>
                <c:pt idx="43">
                  <c:v>4.5199999999999996</c:v>
                </c:pt>
                <c:pt idx="44">
                  <c:v>9.58</c:v>
                </c:pt>
                <c:pt idx="45">
                  <c:v>5.52</c:v>
                </c:pt>
                <c:pt idx="46">
                  <c:v>2.7</c:v>
                </c:pt>
                <c:pt idx="47">
                  <c:v>9.64</c:v>
                </c:pt>
                <c:pt idx="48">
                  <c:v>3.49</c:v>
                </c:pt>
                <c:pt idx="49">
                  <c:v>9.11</c:v>
                </c:pt>
                <c:pt idx="50">
                  <c:v>7.4</c:v>
                </c:pt>
                <c:pt idx="51">
                  <c:v>7.16</c:v>
                </c:pt>
                <c:pt idx="52">
                  <c:v>22.02</c:v>
                </c:pt>
                <c:pt idx="53">
                  <c:v>6.18</c:v>
                </c:pt>
                <c:pt idx="54">
                  <c:v>1.76</c:v>
                </c:pt>
                <c:pt idx="55">
                  <c:v>0.47</c:v>
                </c:pt>
                <c:pt idx="56">
                  <c:v>0.2</c:v>
                </c:pt>
                <c:pt idx="57">
                  <c:v>5.1100000000000003</c:v>
                </c:pt>
                <c:pt idx="58">
                  <c:v>0.2</c:v>
                </c:pt>
                <c:pt idx="59">
                  <c:v>13.59</c:v>
                </c:pt>
                <c:pt idx="60">
                  <c:v>1.02</c:v>
                </c:pt>
                <c:pt idx="61">
                  <c:v>1.64</c:v>
                </c:pt>
                <c:pt idx="62">
                  <c:v>5.15</c:v>
                </c:pt>
                <c:pt idx="63">
                  <c:v>1.1100000000000001</c:v>
                </c:pt>
                <c:pt idx="64">
                  <c:v>6.08</c:v>
                </c:pt>
                <c:pt idx="65">
                  <c:v>10.91</c:v>
                </c:pt>
                <c:pt idx="66">
                  <c:v>19.010000000000002</c:v>
                </c:pt>
                <c:pt idx="67">
                  <c:v>0.77</c:v>
                </c:pt>
                <c:pt idx="68">
                  <c:v>2.83</c:v>
                </c:pt>
                <c:pt idx="69">
                  <c:v>2.33</c:v>
                </c:pt>
                <c:pt idx="70">
                  <c:v>1.43</c:v>
                </c:pt>
                <c:pt idx="71" formatCode="0.00">
                  <c:v>4.5999999999999996</c:v>
                </c:pt>
                <c:pt idx="72">
                  <c:v>4.91</c:v>
                </c:pt>
                <c:pt idx="73">
                  <c:v>7.03</c:v>
                </c:pt>
                <c:pt idx="74">
                  <c:v>0.28000000000000003</c:v>
                </c:pt>
                <c:pt idx="75">
                  <c:v>3.61</c:v>
                </c:pt>
                <c:pt idx="76">
                  <c:v>7.52</c:v>
                </c:pt>
                <c:pt idx="77">
                  <c:v>2.58</c:v>
                </c:pt>
                <c:pt idx="78">
                  <c:v>2.29</c:v>
                </c:pt>
                <c:pt idx="79">
                  <c:v>2.39</c:v>
                </c:pt>
                <c:pt idx="80">
                  <c:v>5.24</c:v>
                </c:pt>
                <c:pt idx="81">
                  <c:v>3.17</c:v>
                </c:pt>
                <c:pt idx="82">
                  <c:v>2.66</c:v>
                </c:pt>
                <c:pt idx="83">
                  <c:v>1.41</c:v>
                </c:pt>
                <c:pt idx="84">
                  <c:v>7.34</c:v>
                </c:pt>
                <c:pt idx="85">
                  <c:v>5.95</c:v>
                </c:pt>
                <c:pt idx="86">
                  <c:v>15.51</c:v>
                </c:pt>
                <c:pt idx="87">
                  <c:v>4.3099999999999996</c:v>
                </c:pt>
                <c:pt idx="88">
                  <c:v>6.61</c:v>
                </c:pt>
                <c:pt idx="89">
                  <c:v>4.26</c:v>
                </c:pt>
                <c:pt idx="90">
                  <c:v>5.75</c:v>
                </c:pt>
                <c:pt idx="91">
                  <c:v>0.33</c:v>
                </c:pt>
                <c:pt idx="92">
                  <c:v>2.92</c:v>
                </c:pt>
                <c:pt idx="93">
                  <c:v>1.64</c:v>
                </c:pt>
                <c:pt idx="94">
                  <c:v>0.8</c:v>
                </c:pt>
                <c:pt idx="95">
                  <c:v>5.79</c:v>
                </c:pt>
                <c:pt idx="96">
                  <c:v>19.600000000000001</c:v>
                </c:pt>
                <c:pt idx="97">
                  <c:v>7.57</c:v>
                </c:pt>
                <c:pt idx="98" formatCode="0.00">
                  <c:v>4.5999999999999996</c:v>
                </c:pt>
                <c:pt idx="99">
                  <c:v>2.7</c:v>
                </c:pt>
                <c:pt idx="100">
                  <c:v>0.2</c:v>
                </c:pt>
                <c:pt idx="101">
                  <c:v>7.87</c:v>
                </c:pt>
                <c:pt idx="102">
                  <c:v>0.77</c:v>
                </c:pt>
                <c:pt idx="103">
                  <c:v>1.48</c:v>
                </c:pt>
                <c:pt idx="104">
                  <c:v>2.87</c:v>
                </c:pt>
                <c:pt idx="105">
                  <c:v>2.83</c:v>
                </c:pt>
                <c:pt idx="106">
                  <c:v>0.25</c:v>
                </c:pt>
                <c:pt idx="107">
                  <c:v>13.33</c:v>
                </c:pt>
                <c:pt idx="108">
                  <c:v>6.35</c:v>
                </c:pt>
                <c:pt idx="109">
                  <c:v>6.69</c:v>
                </c:pt>
                <c:pt idx="110">
                  <c:v>1.28</c:v>
                </c:pt>
                <c:pt idx="111">
                  <c:v>0.92</c:v>
                </c:pt>
                <c:pt idx="112">
                  <c:v>1.05</c:v>
                </c:pt>
                <c:pt idx="113">
                  <c:v>2.67</c:v>
                </c:pt>
                <c:pt idx="114">
                  <c:v>5.91</c:v>
                </c:pt>
                <c:pt idx="115">
                  <c:v>6.37</c:v>
                </c:pt>
                <c:pt idx="116">
                  <c:v>2.4900000000000002</c:v>
                </c:pt>
                <c:pt idx="117">
                  <c:v>1.56</c:v>
                </c:pt>
                <c:pt idx="118">
                  <c:v>14.95</c:v>
                </c:pt>
                <c:pt idx="119">
                  <c:v>7.85</c:v>
                </c:pt>
                <c:pt idx="120">
                  <c:v>6.8</c:v>
                </c:pt>
                <c:pt idx="121">
                  <c:v>2.2000000000000002</c:v>
                </c:pt>
                <c:pt idx="122">
                  <c:v>1.88</c:v>
                </c:pt>
                <c:pt idx="123">
                  <c:v>15.79</c:v>
                </c:pt>
                <c:pt idx="124">
                  <c:v>2.34</c:v>
                </c:pt>
                <c:pt idx="125">
                  <c:v>0.54</c:v>
                </c:pt>
                <c:pt idx="126">
                  <c:v>5.37</c:v>
                </c:pt>
                <c:pt idx="127">
                  <c:v>3.19</c:v>
                </c:pt>
                <c:pt idx="128">
                  <c:v>1.1000000000000001</c:v>
                </c:pt>
                <c:pt idx="129">
                  <c:v>0.21</c:v>
                </c:pt>
                <c:pt idx="130">
                  <c:v>5.12</c:v>
                </c:pt>
                <c:pt idx="131">
                  <c:v>9.77</c:v>
                </c:pt>
                <c:pt idx="132">
                  <c:v>3.77</c:v>
                </c:pt>
                <c:pt idx="133">
                  <c:v>0.78</c:v>
                </c:pt>
                <c:pt idx="134">
                  <c:v>5.17</c:v>
                </c:pt>
                <c:pt idx="135">
                  <c:v>3.2</c:v>
                </c:pt>
                <c:pt idx="136">
                  <c:v>3.4</c:v>
                </c:pt>
                <c:pt idx="137">
                  <c:v>7.38</c:v>
                </c:pt>
                <c:pt idx="138">
                  <c:v>0.85</c:v>
                </c:pt>
                <c:pt idx="139">
                  <c:v>2.89</c:v>
                </c:pt>
                <c:pt idx="140">
                  <c:v>0.77</c:v>
                </c:pt>
                <c:pt idx="141">
                  <c:v>2.92</c:v>
                </c:pt>
                <c:pt idx="142">
                  <c:v>3.07</c:v>
                </c:pt>
                <c:pt idx="143">
                  <c:v>9.6999999999999993</c:v>
                </c:pt>
                <c:pt idx="144">
                  <c:v>3.71</c:v>
                </c:pt>
                <c:pt idx="145">
                  <c:v>10.79</c:v>
                </c:pt>
                <c:pt idx="146">
                  <c:v>6.03</c:v>
                </c:pt>
                <c:pt idx="147">
                  <c:v>4.92</c:v>
                </c:pt>
                <c:pt idx="148">
                  <c:v>19.78</c:v>
                </c:pt>
                <c:pt idx="149">
                  <c:v>5.45</c:v>
                </c:pt>
                <c:pt idx="150">
                  <c:v>2.33</c:v>
                </c:pt>
                <c:pt idx="151">
                  <c:v>3.55</c:v>
                </c:pt>
                <c:pt idx="152">
                  <c:v>0.2</c:v>
                </c:pt>
                <c:pt idx="153">
                  <c:v>2.09</c:v>
                </c:pt>
                <c:pt idx="154">
                  <c:v>2.2599999999999998</c:v>
                </c:pt>
                <c:pt idx="155">
                  <c:v>0.44</c:v>
                </c:pt>
                <c:pt idx="156">
                  <c:v>3.08</c:v>
                </c:pt>
                <c:pt idx="157">
                  <c:v>7.99</c:v>
                </c:pt>
                <c:pt idx="158">
                  <c:v>0.2</c:v>
                </c:pt>
                <c:pt idx="159">
                  <c:v>5.46</c:v>
                </c:pt>
                <c:pt idx="160">
                  <c:v>4.05</c:v>
                </c:pt>
                <c:pt idx="161">
                  <c:v>4.3600000000000003</c:v>
                </c:pt>
                <c:pt idx="162" formatCode="0.00">
                  <c:v>4.5999999999999996</c:v>
                </c:pt>
                <c:pt idx="163">
                  <c:v>0.54</c:v>
                </c:pt>
                <c:pt idx="164">
                  <c:v>11.37</c:v>
                </c:pt>
                <c:pt idx="165">
                  <c:v>9.43</c:v>
                </c:pt>
                <c:pt idx="166">
                  <c:v>3.49</c:v>
                </c:pt>
                <c:pt idx="167">
                  <c:v>7.86</c:v>
                </c:pt>
                <c:pt idx="168">
                  <c:v>12.55</c:v>
                </c:pt>
                <c:pt idx="169">
                  <c:v>3.48</c:v>
                </c:pt>
                <c:pt idx="170">
                  <c:v>7.73</c:v>
                </c:pt>
                <c:pt idx="171">
                  <c:v>0.25</c:v>
                </c:pt>
                <c:pt idx="172">
                  <c:v>6.43</c:v>
                </c:pt>
                <c:pt idx="173">
                  <c:v>2.11</c:v>
                </c:pt>
                <c:pt idx="174">
                  <c:v>9.1199999999999992</c:v>
                </c:pt>
                <c:pt idx="175">
                  <c:v>2.71</c:v>
                </c:pt>
                <c:pt idx="176">
                  <c:v>3.65</c:v>
                </c:pt>
                <c:pt idx="177">
                  <c:v>7.86</c:v>
                </c:pt>
                <c:pt idx="178">
                  <c:v>0.3</c:v>
                </c:pt>
                <c:pt idx="179">
                  <c:v>8.44</c:v>
                </c:pt>
                <c:pt idx="180">
                  <c:v>5.27</c:v>
                </c:pt>
                <c:pt idx="181">
                  <c:v>13.22</c:v>
                </c:pt>
                <c:pt idx="182">
                  <c:v>1.02</c:v>
                </c:pt>
                <c:pt idx="183">
                  <c:v>4.03</c:v>
                </c:pt>
                <c:pt idx="184">
                  <c:v>2.34</c:v>
                </c:pt>
                <c:pt idx="185">
                  <c:v>8.51</c:v>
                </c:pt>
                <c:pt idx="186">
                  <c:v>0.48</c:v>
                </c:pt>
                <c:pt idx="187">
                  <c:v>13.62</c:v>
                </c:pt>
                <c:pt idx="188">
                  <c:v>7.77</c:v>
                </c:pt>
                <c:pt idx="189">
                  <c:v>1.99</c:v>
                </c:pt>
                <c:pt idx="190">
                  <c:v>4.7699999999999996</c:v>
                </c:pt>
                <c:pt idx="191">
                  <c:v>0.2</c:v>
                </c:pt>
                <c:pt idx="192">
                  <c:v>0.53</c:v>
                </c:pt>
                <c:pt idx="193">
                  <c:v>1.54</c:v>
                </c:pt>
                <c:pt idx="194">
                  <c:v>3.63</c:v>
                </c:pt>
                <c:pt idx="195">
                  <c:v>13.48</c:v>
                </c:pt>
                <c:pt idx="196">
                  <c:v>0.2</c:v>
                </c:pt>
                <c:pt idx="197">
                  <c:v>12.82</c:v>
                </c:pt>
                <c:pt idx="198">
                  <c:v>2.2400000000000002</c:v>
                </c:pt>
                <c:pt idx="199">
                  <c:v>1.8</c:v>
                </c:pt>
                <c:pt idx="200">
                  <c:v>0.41</c:v>
                </c:pt>
                <c:pt idx="201">
                  <c:v>3.05</c:v>
                </c:pt>
                <c:pt idx="202">
                  <c:v>8.44</c:v>
                </c:pt>
                <c:pt idx="203">
                  <c:v>0.78</c:v>
                </c:pt>
                <c:pt idx="204">
                  <c:v>0.87</c:v>
                </c:pt>
                <c:pt idx="205">
                  <c:v>0.95</c:v>
                </c:pt>
                <c:pt idx="206">
                  <c:v>3.82</c:v>
                </c:pt>
                <c:pt idx="207">
                  <c:v>2.7</c:v>
                </c:pt>
                <c:pt idx="208">
                  <c:v>3.84</c:v>
                </c:pt>
                <c:pt idx="209">
                  <c:v>5.09</c:v>
                </c:pt>
                <c:pt idx="210">
                  <c:v>3.82</c:v>
                </c:pt>
                <c:pt idx="211">
                  <c:v>12.28</c:v>
                </c:pt>
                <c:pt idx="212">
                  <c:v>2.8</c:v>
                </c:pt>
                <c:pt idx="213">
                  <c:v>3.67</c:v>
                </c:pt>
                <c:pt idx="214">
                  <c:v>2.81</c:v>
                </c:pt>
                <c:pt idx="215">
                  <c:v>2.44</c:v>
                </c:pt>
                <c:pt idx="216">
                  <c:v>3.27</c:v>
                </c:pt>
                <c:pt idx="217">
                  <c:v>10.34</c:v>
                </c:pt>
                <c:pt idx="218">
                  <c:v>1.92</c:v>
                </c:pt>
                <c:pt idx="219">
                  <c:v>3.1</c:v>
                </c:pt>
                <c:pt idx="220">
                  <c:v>6.34</c:v>
                </c:pt>
                <c:pt idx="221">
                  <c:v>1.2</c:v>
                </c:pt>
                <c:pt idx="222">
                  <c:v>4.5</c:v>
                </c:pt>
                <c:pt idx="223">
                  <c:v>6.68</c:v>
                </c:pt>
                <c:pt idx="224">
                  <c:v>4.07</c:v>
                </c:pt>
                <c:pt idx="225">
                  <c:v>5.45</c:v>
                </c:pt>
                <c:pt idx="226">
                  <c:v>15.58</c:v>
                </c:pt>
                <c:pt idx="227">
                  <c:v>5.32</c:v>
                </c:pt>
                <c:pt idx="228">
                  <c:v>0.37</c:v>
                </c:pt>
                <c:pt idx="229">
                  <c:v>21.63</c:v>
                </c:pt>
                <c:pt idx="230">
                  <c:v>2.48</c:v>
                </c:pt>
                <c:pt idx="231" formatCode="0.00">
                  <c:v>4.5999999999999996</c:v>
                </c:pt>
                <c:pt idx="232">
                  <c:v>0.85</c:v>
                </c:pt>
                <c:pt idx="233">
                  <c:v>2.13</c:v>
                </c:pt>
                <c:pt idx="234">
                  <c:v>1.46</c:v>
                </c:pt>
                <c:pt idx="235">
                  <c:v>3.02</c:v>
                </c:pt>
                <c:pt idx="236">
                  <c:v>3.22</c:v>
                </c:pt>
                <c:pt idx="237">
                  <c:v>15.66</c:v>
                </c:pt>
                <c:pt idx="238">
                  <c:v>6.96</c:v>
                </c:pt>
                <c:pt idx="239">
                  <c:v>4.62</c:v>
                </c:pt>
                <c:pt idx="240">
                  <c:v>10.68</c:v>
                </c:pt>
                <c:pt idx="241">
                  <c:v>4.04</c:v>
                </c:pt>
                <c:pt idx="242">
                  <c:v>1.87</c:v>
                </c:pt>
                <c:pt idx="243">
                  <c:v>2.83</c:v>
                </c:pt>
                <c:pt idx="244">
                  <c:v>0.95</c:v>
                </c:pt>
                <c:pt idx="245">
                  <c:v>0.8</c:v>
                </c:pt>
                <c:pt idx="246">
                  <c:v>0.2</c:v>
                </c:pt>
                <c:pt idx="247">
                  <c:v>1.7</c:v>
                </c:pt>
                <c:pt idx="248" formatCode="0.00">
                  <c:v>4.5999999999999996</c:v>
                </c:pt>
                <c:pt idx="249">
                  <c:v>5.0999999999999996</c:v>
                </c:pt>
                <c:pt idx="250">
                  <c:v>0.83</c:v>
                </c:pt>
                <c:pt idx="251">
                  <c:v>1.1399999999999999</c:v>
                </c:pt>
                <c:pt idx="252">
                  <c:v>9.5399999999999991</c:v>
                </c:pt>
                <c:pt idx="253">
                  <c:v>5.48</c:v>
                </c:pt>
                <c:pt idx="254">
                  <c:v>0.84</c:v>
                </c:pt>
                <c:pt idx="255">
                  <c:v>4.1900000000000004</c:v>
                </c:pt>
                <c:pt idx="256">
                  <c:v>1.26</c:v>
                </c:pt>
                <c:pt idx="257">
                  <c:v>2.74</c:v>
                </c:pt>
                <c:pt idx="258">
                  <c:v>3.69</c:v>
                </c:pt>
                <c:pt idx="259">
                  <c:v>1.82</c:v>
                </c:pt>
                <c:pt idx="260">
                  <c:v>6.62</c:v>
                </c:pt>
                <c:pt idx="261" formatCode="0.00">
                  <c:v>4.5999999999999996</c:v>
                </c:pt>
                <c:pt idx="262">
                  <c:v>6.92</c:v>
                </c:pt>
                <c:pt idx="263">
                  <c:v>11.78</c:v>
                </c:pt>
                <c:pt idx="264">
                  <c:v>0.5</c:v>
                </c:pt>
                <c:pt idx="265">
                  <c:v>0.88</c:v>
                </c:pt>
                <c:pt idx="266">
                  <c:v>2.25</c:v>
                </c:pt>
                <c:pt idx="267">
                  <c:v>0.28999999999999998</c:v>
                </c:pt>
                <c:pt idx="268">
                  <c:v>0.65</c:v>
                </c:pt>
                <c:pt idx="269">
                  <c:v>0.2</c:v>
                </c:pt>
                <c:pt idx="270">
                  <c:v>3.63</c:v>
                </c:pt>
                <c:pt idx="271">
                  <c:v>0.2</c:v>
                </c:pt>
                <c:pt idx="272">
                  <c:v>6.23</c:v>
                </c:pt>
                <c:pt idx="273">
                  <c:v>1.04</c:v>
                </c:pt>
                <c:pt idx="274">
                  <c:v>1.76</c:v>
                </c:pt>
                <c:pt idx="275">
                  <c:v>2.86</c:v>
                </c:pt>
                <c:pt idx="276">
                  <c:v>18.14</c:v>
                </c:pt>
                <c:pt idx="277">
                  <c:v>3.39</c:v>
                </c:pt>
                <c:pt idx="278">
                  <c:v>1.44</c:v>
                </c:pt>
                <c:pt idx="279">
                  <c:v>3.65</c:v>
                </c:pt>
                <c:pt idx="280">
                  <c:v>1.23</c:v>
                </c:pt>
                <c:pt idx="281">
                  <c:v>3.09</c:v>
                </c:pt>
                <c:pt idx="282">
                  <c:v>3.15</c:v>
                </c:pt>
                <c:pt idx="283">
                  <c:v>6.44</c:v>
                </c:pt>
                <c:pt idx="284">
                  <c:v>0.2</c:v>
                </c:pt>
                <c:pt idx="285">
                  <c:v>0.59</c:v>
                </c:pt>
                <c:pt idx="286">
                  <c:v>0.2</c:v>
                </c:pt>
                <c:pt idx="287">
                  <c:v>1.36</c:v>
                </c:pt>
                <c:pt idx="288">
                  <c:v>3.34</c:v>
                </c:pt>
                <c:pt idx="289">
                  <c:v>0.33</c:v>
                </c:pt>
                <c:pt idx="290">
                  <c:v>3.44</c:v>
                </c:pt>
                <c:pt idx="291">
                  <c:v>5.33</c:v>
                </c:pt>
                <c:pt idx="292">
                  <c:v>6.04</c:v>
                </c:pt>
                <c:pt idx="293">
                  <c:v>1.6</c:v>
                </c:pt>
                <c:pt idx="294">
                  <c:v>8.9600000000000009</c:v>
                </c:pt>
                <c:pt idx="295">
                  <c:v>0.74</c:v>
                </c:pt>
                <c:pt idx="296">
                  <c:v>6.13</c:v>
                </c:pt>
                <c:pt idx="297">
                  <c:v>1.41</c:v>
                </c:pt>
                <c:pt idx="298">
                  <c:v>3.75</c:v>
                </c:pt>
                <c:pt idx="299">
                  <c:v>15.06</c:v>
                </c:pt>
                <c:pt idx="300">
                  <c:v>5.07</c:v>
                </c:pt>
                <c:pt idx="301">
                  <c:v>3.6</c:v>
                </c:pt>
                <c:pt idx="302">
                  <c:v>4.3899999999999997</c:v>
                </c:pt>
                <c:pt idx="303">
                  <c:v>2.79</c:v>
                </c:pt>
                <c:pt idx="304">
                  <c:v>1.56</c:v>
                </c:pt>
                <c:pt idx="305">
                  <c:v>15.82</c:v>
                </c:pt>
                <c:pt idx="306">
                  <c:v>1.17</c:v>
                </c:pt>
                <c:pt idx="307">
                  <c:v>3.82</c:v>
                </c:pt>
                <c:pt idx="308">
                  <c:v>4.1399999999999997</c:v>
                </c:pt>
                <c:pt idx="309">
                  <c:v>1.1000000000000001</c:v>
                </c:pt>
                <c:pt idx="310">
                  <c:v>10.6</c:v>
                </c:pt>
                <c:pt idx="311">
                  <c:v>0.9</c:v>
                </c:pt>
                <c:pt idx="312">
                  <c:v>0.2</c:v>
                </c:pt>
                <c:pt idx="313">
                  <c:v>4.67</c:v>
                </c:pt>
                <c:pt idx="314">
                  <c:v>4.38</c:v>
                </c:pt>
                <c:pt idx="315">
                  <c:v>4.4800000000000004</c:v>
                </c:pt>
                <c:pt idx="316">
                  <c:v>1.02</c:v>
                </c:pt>
                <c:pt idx="317">
                  <c:v>0.2</c:v>
                </c:pt>
                <c:pt idx="318">
                  <c:v>4.8899999999999997</c:v>
                </c:pt>
                <c:pt idx="319">
                  <c:v>11.82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B4-4E7F-A735-D66817A8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46656"/>
        <c:axId val="372247616"/>
      </c:scatterChart>
      <c:valAx>
        <c:axId val="37224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competitor_distance_km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247616"/>
        <c:crosses val="autoZero"/>
        <c:crossBetween val="midCat"/>
      </c:valAx>
      <c:valAx>
        <c:axId val="37224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246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holiday_flag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multiple_regression_data!$K$2:$K$321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3-4108-9C07-46F2F703D70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multiple_regression_data!$K$2:$K$321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53-4108-9C07-46F2F703D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69232"/>
        <c:axId val="320669712"/>
      </c:scatterChart>
      <c:valAx>
        <c:axId val="32066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holiday_flag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669712"/>
        <c:crosses val="autoZero"/>
        <c:crossBetween val="midCat"/>
      </c:valAx>
      <c:valAx>
        <c:axId val="32066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66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customer_rating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multiple_regression_data!$L$2:$L$321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 formatCode="0.0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 formatCode="0.0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 formatCode="0.0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 formatCode="0.0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 formatCode="0.0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 formatCode="0.0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 formatCode="0.0">
                  <c:v>3.9</c:v>
                </c:pt>
                <c:pt idx="312">
                  <c:v>3.4</c:v>
                </c:pt>
                <c:pt idx="313" formatCode="0.0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AC-4CCA-B2AB-168887AEFBFC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multiple_regression_data!$L$2:$L$321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 formatCode="0.0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 formatCode="0.0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 formatCode="0.0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 formatCode="0.0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 formatCode="0.0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 formatCode="0.0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 formatCode="0.0">
                  <c:v>3.9</c:v>
                </c:pt>
                <c:pt idx="312">
                  <c:v>3.4</c:v>
                </c:pt>
                <c:pt idx="313" formatCode="0.0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AC-4CCA-B2AB-168887AEF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69232"/>
        <c:axId val="311571584"/>
      </c:scatterChart>
      <c:valAx>
        <c:axId val="32066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customer_rating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1571584"/>
        <c:crosses val="autoZero"/>
        <c:crossBetween val="midCat"/>
      </c:valAx>
      <c:valAx>
        <c:axId val="311571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66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region_north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multiple_regression_data!$M$2:$M$321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CA-4D8F-9C95-C7154DCED49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multiple_regression_data!$M$2:$M$321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CA-4D8F-9C95-C7154DCED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858864"/>
        <c:axId val="1427858384"/>
      </c:scatterChart>
      <c:valAx>
        <c:axId val="142785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region_north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858384"/>
        <c:crosses val="autoZero"/>
        <c:crossBetween val="midCat"/>
      </c:valAx>
      <c:valAx>
        <c:axId val="1427858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858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region_south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multiple_regression_data!$N$2:$N$321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6-444C-92A2-611BBF90A76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multiple_regression_data!$N$2:$N$321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E6-444C-92A2-611BBF90A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857952"/>
        <c:axId val="879859392"/>
      </c:scatterChart>
      <c:valAx>
        <c:axId val="87985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region_south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9859392"/>
        <c:crosses val="autoZero"/>
        <c:crossBetween val="midCat"/>
      </c:valAx>
      <c:valAx>
        <c:axId val="879859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9857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region_west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multiple_regression_data!$O$2:$O$321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7-4FAB-B010-8CF6FE09F5A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multiple_regression_data!$O$2:$O$321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37-4FAB-B010-8CF6FE09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857904"/>
        <c:axId val="879863712"/>
      </c:scatterChart>
      <c:valAx>
        <c:axId val="142785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region_west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9863712"/>
        <c:crosses val="autoZero"/>
        <c:crossBetween val="midCat"/>
      </c:valAx>
      <c:valAx>
        <c:axId val="87986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857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store_airport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multiple_regression_data!$P$2:$P$321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71-4C66-AE9A-3829E5BF39E8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multiple_regression_data!$P$2:$P$321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71-4C66-AE9A-3829E5BF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857904"/>
        <c:axId val="320669232"/>
      </c:scatterChart>
      <c:valAx>
        <c:axId val="142785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store_airport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0669232"/>
        <c:crosses val="autoZero"/>
        <c:crossBetween val="midCat"/>
      </c:valAx>
      <c:valAx>
        <c:axId val="320669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857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store_highstreet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multiple_regression_data!$Q$2:$Q$321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C2-4B7B-9A34-76DC1D92552B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multiple_regression_data!$Q$2:$Q$321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C2-4B7B-9A34-76DC1D925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859872"/>
        <c:axId val="372244736"/>
      </c:scatterChart>
      <c:valAx>
        <c:axId val="87985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store_highstreet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2244736"/>
        <c:crosses val="autoZero"/>
        <c:crossBetween val="midCat"/>
      </c:valAx>
      <c:valAx>
        <c:axId val="37224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9859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store_mall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multiple_regression_data!$R$2:$R$321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multiple_regression_data!$B$2:$B$321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BC-4010-9476-04D5E4404C2F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multiple_regression_data!$R$2:$R$321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multiple_regression_output!$B$38:$B$357</c:f>
              <c:numCache>
                <c:formatCode>General</c:formatCode>
                <c:ptCount val="320"/>
                <c:pt idx="0">
                  <c:v>677155.88400218752</c:v>
                </c:pt>
                <c:pt idx="1">
                  <c:v>679032.88241478871</c:v>
                </c:pt>
                <c:pt idx="2">
                  <c:v>696319.09381721797</c:v>
                </c:pt>
                <c:pt idx="3">
                  <c:v>734601.41019357741</c:v>
                </c:pt>
                <c:pt idx="4">
                  <c:v>788326.97531157755</c:v>
                </c:pt>
                <c:pt idx="5">
                  <c:v>774190.18997931294</c:v>
                </c:pt>
                <c:pt idx="6">
                  <c:v>806898.23211814323</c:v>
                </c:pt>
                <c:pt idx="7">
                  <c:v>792752.46516824281</c:v>
                </c:pt>
                <c:pt idx="8">
                  <c:v>873032.74272345286</c:v>
                </c:pt>
                <c:pt idx="9">
                  <c:v>808063.01750458917</c:v>
                </c:pt>
                <c:pt idx="10">
                  <c:v>753995.00136432762</c:v>
                </c:pt>
                <c:pt idx="11">
                  <c:v>867762.03034100612</c:v>
                </c:pt>
                <c:pt idx="12">
                  <c:v>881375.34986752772</c:v>
                </c:pt>
                <c:pt idx="13">
                  <c:v>772133.55316383159</c:v>
                </c:pt>
                <c:pt idx="14">
                  <c:v>753203.51598240784</c:v>
                </c:pt>
                <c:pt idx="15">
                  <c:v>808757.92702504958</c:v>
                </c:pt>
                <c:pt idx="16">
                  <c:v>677829.23780232947</c:v>
                </c:pt>
                <c:pt idx="17">
                  <c:v>577033.54393840651</c:v>
                </c:pt>
                <c:pt idx="18">
                  <c:v>698294.09732888651</c:v>
                </c:pt>
                <c:pt idx="19">
                  <c:v>614083.28413826472</c:v>
                </c:pt>
                <c:pt idx="20">
                  <c:v>485958.12643946218</c:v>
                </c:pt>
                <c:pt idx="21">
                  <c:v>503830.06697790779</c:v>
                </c:pt>
                <c:pt idx="22">
                  <c:v>551853.00665451097</c:v>
                </c:pt>
                <c:pt idx="23">
                  <c:v>566666.48997502238</c:v>
                </c:pt>
                <c:pt idx="24">
                  <c:v>855334.15046615503</c:v>
                </c:pt>
                <c:pt idx="25">
                  <c:v>912118.54315799451</c:v>
                </c:pt>
                <c:pt idx="26">
                  <c:v>809426.05304221914</c:v>
                </c:pt>
                <c:pt idx="27">
                  <c:v>660949.66429935407</c:v>
                </c:pt>
                <c:pt idx="28">
                  <c:v>570793.63435432885</c:v>
                </c:pt>
                <c:pt idx="29">
                  <c:v>511663.63317554008</c:v>
                </c:pt>
                <c:pt idx="30">
                  <c:v>515845.53149741289</c:v>
                </c:pt>
                <c:pt idx="31">
                  <c:v>441973.76423955086</c:v>
                </c:pt>
                <c:pt idx="32">
                  <c:v>708794.98217099719</c:v>
                </c:pt>
                <c:pt idx="33">
                  <c:v>851336.67391839647</c:v>
                </c:pt>
                <c:pt idx="34">
                  <c:v>797449.08241782442</c:v>
                </c:pt>
                <c:pt idx="35">
                  <c:v>804765.29387464188</c:v>
                </c:pt>
                <c:pt idx="36">
                  <c:v>776275.42398835381</c:v>
                </c:pt>
                <c:pt idx="37">
                  <c:v>742683.59681466105</c:v>
                </c:pt>
                <c:pt idx="38">
                  <c:v>749076.49275406182</c:v>
                </c:pt>
                <c:pt idx="39">
                  <c:v>851545.70666652266</c:v>
                </c:pt>
                <c:pt idx="40">
                  <c:v>580583.74674767046</c:v>
                </c:pt>
                <c:pt idx="41">
                  <c:v>530059.95267643721</c:v>
                </c:pt>
                <c:pt idx="42">
                  <c:v>623389.93049076793</c:v>
                </c:pt>
                <c:pt idx="43">
                  <c:v>603287.72153244505</c:v>
                </c:pt>
                <c:pt idx="44">
                  <c:v>709760.89075125579</c:v>
                </c:pt>
                <c:pt idx="45">
                  <c:v>631899.66777208389</c:v>
                </c:pt>
                <c:pt idx="46">
                  <c:v>589585.2732495094</c:v>
                </c:pt>
                <c:pt idx="47">
                  <c:v>553091.10941827134</c:v>
                </c:pt>
                <c:pt idx="48">
                  <c:v>674420.14749054669</c:v>
                </c:pt>
                <c:pt idx="49">
                  <c:v>580449.51185736409</c:v>
                </c:pt>
                <c:pt idx="50">
                  <c:v>602695.27559043025</c:v>
                </c:pt>
                <c:pt idx="51">
                  <c:v>744476.81293097616</c:v>
                </c:pt>
                <c:pt idx="52">
                  <c:v>500645.22426574241</c:v>
                </c:pt>
                <c:pt idx="53">
                  <c:v>716466.92389869143</c:v>
                </c:pt>
                <c:pt idx="54">
                  <c:v>698238.75739385979</c:v>
                </c:pt>
                <c:pt idx="55">
                  <c:v>564621.24638017383</c:v>
                </c:pt>
                <c:pt idx="56">
                  <c:v>550280.30877016159</c:v>
                </c:pt>
                <c:pt idx="57">
                  <c:v>528922.65631286707</c:v>
                </c:pt>
                <c:pt idx="58">
                  <c:v>677743.21376805333</c:v>
                </c:pt>
                <c:pt idx="59">
                  <c:v>578873.36111900455</c:v>
                </c:pt>
                <c:pt idx="60">
                  <c:v>707760.85027766577</c:v>
                </c:pt>
                <c:pt idx="61">
                  <c:v>581450.02425415895</c:v>
                </c:pt>
                <c:pt idx="62">
                  <c:v>571330.46902332711</c:v>
                </c:pt>
                <c:pt idx="63">
                  <c:v>731024.64637793449</c:v>
                </c:pt>
                <c:pt idx="64">
                  <c:v>826984.54378258297</c:v>
                </c:pt>
                <c:pt idx="65">
                  <c:v>716286.15775703033</c:v>
                </c:pt>
                <c:pt idx="66">
                  <c:v>805549.43711770175</c:v>
                </c:pt>
                <c:pt idx="67">
                  <c:v>740857.13576745393</c:v>
                </c:pt>
                <c:pt idx="68">
                  <c:v>597738.32719744497</c:v>
                </c:pt>
                <c:pt idx="69">
                  <c:v>498514.25553287129</c:v>
                </c:pt>
                <c:pt idx="70">
                  <c:v>577323.58292906149</c:v>
                </c:pt>
                <c:pt idx="71">
                  <c:v>616807.90920001257</c:v>
                </c:pt>
                <c:pt idx="72">
                  <c:v>574296.86007973156</c:v>
                </c:pt>
                <c:pt idx="73">
                  <c:v>677681.16866976325</c:v>
                </c:pt>
                <c:pt idx="74">
                  <c:v>728211.88569427957</c:v>
                </c:pt>
                <c:pt idx="75">
                  <c:v>704847.49901318527</c:v>
                </c:pt>
                <c:pt idx="76">
                  <c:v>649944.83379143092</c:v>
                </c:pt>
                <c:pt idx="77">
                  <c:v>640941.94634158292</c:v>
                </c:pt>
                <c:pt idx="78">
                  <c:v>722865.54920727212</c:v>
                </c:pt>
                <c:pt idx="79">
                  <c:v>660185.15394035343</c:v>
                </c:pt>
                <c:pt idx="80">
                  <c:v>663020.66643657233</c:v>
                </c:pt>
                <c:pt idx="81">
                  <c:v>647083.66363696044</c:v>
                </c:pt>
                <c:pt idx="82">
                  <c:v>678946.96361792309</c:v>
                </c:pt>
                <c:pt idx="83">
                  <c:v>571895.61864389922</c:v>
                </c:pt>
                <c:pt idx="84">
                  <c:v>556674.25338656863</c:v>
                </c:pt>
                <c:pt idx="85">
                  <c:v>643560.63916301634</c:v>
                </c:pt>
                <c:pt idx="86">
                  <c:v>593316.24885292712</c:v>
                </c:pt>
                <c:pt idx="87">
                  <c:v>477692.2160545786</c:v>
                </c:pt>
                <c:pt idx="88">
                  <c:v>696926.59617735236</c:v>
                </c:pt>
                <c:pt idx="89">
                  <c:v>764012.61864513066</c:v>
                </c:pt>
                <c:pt idx="90">
                  <c:v>736721.05565367476</c:v>
                </c:pt>
                <c:pt idx="91">
                  <c:v>583429.30192859971</c:v>
                </c:pt>
                <c:pt idx="92">
                  <c:v>604889.84468611854</c:v>
                </c:pt>
                <c:pt idx="93">
                  <c:v>710728.4630404081</c:v>
                </c:pt>
                <c:pt idx="94">
                  <c:v>785329.03375043184</c:v>
                </c:pt>
                <c:pt idx="95">
                  <c:v>618315.65375143616</c:v>
                </c:pt>
                <c:pt idx="96">
                  <c:v>674916.00209668733</c:v>
                </c:pt>
                <c:pt idx="97">
                  <c:v>665040.48222604976</c:v>
                </c:pt>
                <c:pt idx="98">
                  <c:v>637706.81576834316</c:v>
                </c:pt>
                <c:pt idx="99">
                  <c:v>666084.18663535593</c:v>
                </c:pt>
                <c:pt idx="100">
                  <c:v>608408.23186803539</c:v>
                </c:pt>
                <c:pt idx="101">
                  <c:v>620959.57445170311</c:v>
                </c:pt>
                <c:pt idx="102">
                  <c:v>725704.38677892182</c:v>
                </c:pt>
                <c:pt idx="103">
                  <c:v>540428.52255950216</c:v>
                </c:pt>
                <c:pt idx="104">
                  <c:v>706720.78833230119</c:v>
                </c:pt>
                <c:pt idx="105">
                  <c:v>796755.06844774855</c:v>
                </c:pt>
                <c:pt idx="106">
                  <c:v>724671.2990524281</c:v>
                </c:pt>
                <c:pt idx="107">
                  <c:v>630556.3369985841</c:v>
                </c:pt>
                <c:pt idx="108">
                  <c:v>686658.80741265754</c:v>
                </c:pt>
                <c:pt idx="109">
                  <c:v>631636.03924804006</c:v>
                </c:pt>
                <c:pt idx="110">
                  <c:v>657153.64572090178</c:v>
                </c:pt>
                <c:pt idx="111">
                  <c:v>610600.96102858323</c:v>
                </c:pt>
                <c:pt idx="112">
                  <c:v>758271.43420581101</c:v>
                </c:pt>
                <c:pt idx="113">
                  <c:v>850767.76778040535</c:v>
                </c:pt>
                <c:pt idx="114">
                  <c:v>752155.64930002368</c:v>
                </c:pt>
                <c:pt idx="115">
                  <c:v>761683.7100361737</c:v>
                </c:pt>
                <c:pt idx="116">
                  <c:v>729375.37429993518</c:v>
                </c:pt>
                <c:pt idx="117">
                  <c:v>738254.18086436461</c:v>
                </c:pt>
                <c:pt idx="118">
                  <c:v>711378.09346390131</c:v>
                </c:pt>
                <c:pt idx="119">
                  <c:v>729031.65194892418</c:v>
                </c:pt>
                <c:pt idx="120">
                  <c:v>558300.8456476744</c:v>
                </c:pt>
                <c:pt idx="121">
                  <c:v>634946.32091235009</c:v>
                </c:pt>
                <c:pt idx="122">
                  <c:v>605943.71856746683</c:v>
                </c:pt>
                <c:pt idx="123">
                  <c:v>473732.8989509191</c:v>
                </c:pt>
                <c:pt idx="124">
                  <c:v>861149.83360221435</c:v>
                </c:pt>
                <c:pt idx="125">
                  <c:v>881529.52794760303</c:v>
                </c:pt>
                <c:pt idx="126">
                  <c:v>802975.75101799401</c:v>
                </c:pt>
                <c:pt idx="127">
                  <c:v>715013.50964467123</c:v>
                </c:pt>
                <c:pt idx="128">
                  <c:v>857887.94375470025</c:v>
                </c:pt>
                <c:pt idx="129">
                  <c:v>811453.99133999005</c:v>
                </c:pt>
                <c:pt idx="130">
                  <c:v>788181.85576509917</c:v>
                </c:pt>
                <c:pt idx="131">
                  <c:v>805742.41170773306</c:v>
                </c:pt>
                <c:pt idx="132">
                  <c:v>579800.21545442007</c:v>
                </c:pt>
                <c:pt idx="133">
                  <c:v>462742.06847182428</c:v>
                </c:pt>
                <c:pt idx="134">
                  <c:v>614335.50837048027</c:v>
                </c:pt>
                <c:pt idx="135">
                  <c:v>552834.08321696636</c:v>
                </c:pt>
                <c:pt idx="136">
                  <c:v>709051.84315979888</c:v>
                </c:pt>
                <c:pt idx="137">
                  <c:v>689480.26209158706</c:v>
                </c:pt>
                <c:pt idx="138">
                  <c:v>712416.35983241012</c:v>
                </c:pt>
                <c:pt idx="139">
                  <c:v>610730.34899463702</c:v>
                </c:pt>
                <c:pt idx="140">
                  <c:v>685230.17426362634</c:v>
                </c:pt>
                <c:pt idx="141">
                  <c:v>707972.29008445505</c:v>
                </c:pt>
                <c:pt idx="142">
                  <c:v>663145.77436812117</c:v>
                </c:pt>
                <c:pt idx="143">
                  <c:v>676899.01004779816</c:v>
                </c:pt>
                <c:pt idx="144">
                  <c:v>593327.93264127022</c:v>
                </c:pt>
                <c:pt idx="145">
                  <c:v>536176.97393890191</c:v>
                </c:pt>
                <c:pt idx="146">
                  <c:v>587440.69935173797</c:v>
                </c:pt>
                <c:pt idx="147">
                  <c:v>553169.41787000617</c:v>
                </c:pt>
                <c:pt idx="148">
                  <c:v>610874.50614597474</c:v>
                </c:pt>
                <c:pt idx="149">
                  <c:v>706735.66063259158</c:v>
                </c:pt>
                <c:pt idx="150">
                  <c:v>686580.02748412476</c:v>
                </c:pt>
                <c:pt idx="151">
                  <c:v>716380.35869831685</c:v>
                </c:pt>
                <c:pt idx="152">
                  <c:v>805163.26521676139</c:v>
                </c:pt>
                <c:pt idx="153">
                  <c:v>692035.80621489952</c:v>
                </c:pt>
                <c:pt idx="154">
                  <c:v>718706.52391208301</c:v>
                </c:pt>
                <c:pt idx="155">
                  <c:v>712321.12127477443</c:v>
                </c:pt>
                <c:pt idx="156">
                  <c:v>728482.40897980344</c:v>
                </c:pt>
                <c:pt idx="157">
                  <c:v>607350.31297241955</c:v>
                </c:pt>
                <c:pt idx="158">
                  <c:v>670718.96611660824</c:v>
                </c:pt>
                <c:pt idx="159">
                  <c:v>560666.29747222515</c:v>
                </c:pt>
                <c:pt idx="160">
                  <c:v>698023.20560234925</c:v>
                </c:pt>
                <c:pt idx="161">
                  <c:v>717798.56582773139</c:v>
                </c:pt>
                <c:pt idx="162">
                  <c:v>682744.2561347147</c:v>
                </c:pt>
                <c:pt idx="163">
                  <c:v>732112.60878423159</c:v>
                </c:pt>
                <c:pt idx="164">
                  <c:v>781001.50350485707</c:v>
                </c:pt>
                <c:pt idx="165">
                  <c:v>723404.31431055826</c:v>
                </c:pt>
                <c:pt idx="166">
                  <c:v>677884.71742755908</c:v>
                </c:pt>
                <c:pt idx="167">
                  <c:v>810280.22151061404</c:v>
                </c:pt>
                <c:pt idx="168">
                  <c:v>739980.36359227996</c:v>
                </c:pt>
                <c:pt idx="169">
                  <c:v>645310.063263327</c:v>
                </c:pt>
                <c:pt idx="170">
                  <c:v>709132.8107483947</c:v>
                </c:pt>
                <c:pt idx="171">
                  <c:v>683108.20312484901</c:v>
                </c:pt>
                <c:pt idx="172">
                  <c:v>731461.68473583797</c:v>
                </c:pt>
                <c:pt idx="173">
                  <c:v>730344.94173951331</c:v>
                </c:pt>
                <c:pt idx="174">
                  <c:v>728300.83101480792</c:v>
                </c:pt>
                <c:pt idx="175">
                  <c:v>793352.42215016985</c:v>
                </c:pt>
                <c:pt idx="176">
                  <c:v>896923.48027771956</c:v>
                </c:pt>
                <c:pt idx="177">
                  <c:v>731570.59021064872</c:v>
                </c:pt>
                <c:pt idx="178">
                  <c:v>790552.3534542484</c:v>
                </c:pt>
                <c:pt idx="179">
                  <c:v>841939.28630932269</c:v>
                </c:pt>
                <c:pt idx="180">
                  <c:v>858407.61737035448</c:v>
                </c:pt>
                <c:pt idx="181">
                  <c:v>711138.79911936028</c:v>
                </c:pt>
                <c:pt idx="182">
                  <c:v>785116.05635918025</c:v>
                </c:pt>
                <c:pt idx="183">
                  <c:v>816265.35530665331</c:v>
                </c:pt>
                <c:pt idx="184">
                  <c:v>701934.82016372029</c:v>
                </c:pt>
                <c:pt idx="185">
                  <c:v>648925.33016285824</c:v>
                </c:pt>
                <c:pt idx="186">
                  <c:v>724990.13795177452</c:v>
                </c:pt>
                <c:pt idx="187">
                  <c:v>678347.02710363152</c:v>
                </c:pt>
                <c:pt idx="188">
                  <c:v>572407.96692117187</c:v>
                </c:pt>
                <c:pt idx="189">
                  <c:v>545699.6793626647</c:v>
                </c:pt>
                <c:pt idx="190">
                  <c:v>451863.24149887712</c:v>
                </c:pt>
                <c:pt idx="191">
                  <c:v>613296.62025607703</c:v>
                </c:pt>
                <c:pt idx="192">
                  <c:v>684392.95800382772</c:v>
                </c:pt>
                <c:pt idx="193">
                  <c:v>611241.78406621946</c:v>
                </c:pt>
                <c:pt idx="194">
                  <c:v>563433.06366783823</c:v>
                </c:pt>
                <c:pt idx="195">
                  <c:v>482325.37705525249</c:v>
                </c:pt>
                <c:pt idx="196">
                  <c:v>635172.09895836958</c:v>
                </c:pt>
                <c:pt idx="197">
                  <c:v>578827.93140588107</c:v>
                </c:pt>
                <c:pt idx="198">
                  <c:v>612878.26991250331</c:v>
                </c:pt>
                <c:pt idx="199">
                  <c:v>662941.39938710537</c:v>
                </c:pt>
                <c:pt idx="200">
                  <c:v>645822.47304536286</c:v>
                </c:pt>
                <c:pt idx="201">
                  <c:v>701436.2607133477</c:v>
                </c:pt>
                <c:pt idx="202">
                  <c:v>661540.55615242815</c:v>
                </c:pt>
                <c:pt idx="203">
                  <c:v>694645.58347659605</c:v>
                </c:pt>
                <c:pt idx="204">
                  <c:v>858174.51099083945</c:v>
                </c:pt>
                <c:pt idx="205">
                  <c:v>748866.16335828754</c:v>
                </c:pt>
                <c:pt idx="206">
                  <c:v>722775.36802012764</c:v>
                </c:pt>
                <c:pt idx="207">
                  <c:v>751757.33204325754</c:v>
                </c:pt>
                <c:pt idx="208">
                  <c:v>810322.81166186987</c:v>
                </c:pt>
                <c:pt idx="209">
                  <c:v>740161.16372252454</c:v>
                </c:pt>
                <c:pt idx="210">
                  <c:v>980894.38507835974</c:v>
                </c:pt>
                <c:pt idx="211">
                  <c:v>733896.75816607301</c:v>
                </c:pt>
                <c:pt idx="212">
                  <c:v>791035.29711596319</c:v>
                </c:pt>
                <c:pt idx="213">
                  <c:v>764379.80740338133</c:v>
                </c:pt>
                <c:pt idx="214">
                  <c:v>769133.73480150453</c:v>
                </c:pt>
                <c:pt idx="215">
                  <c:v>836309.72079351346</c:v>
                </c:pt>
                <c:pt idx="216">
                  <c:v>648263.44097757642</c:v>
                </c:pt>
                <c:pt idx="217">
                  <c:v>625955.77562024491</c:v>
                </c:pt>
                <c:pt idx="218">
                  <c:v>646498.43108546163</c:v>
                </c:pt>
                <c:pt idx="219">
                  <c:v>609085.42772951152</c:v>
                </c:pt>
                <c:pt idx="220">
                  <c:v>701322.03643985128</c:v>
                </c:pt>
                <c:pt idx="221">
                  <c:v>671513.42415148695</c:v>
                </c:pt>
                <c:pt idx="222">
                  <c:v>722948.30341899756</c:v>
                </c:pt>
                <c:pt idx="223">
                  <c:v>743614.52572360286</c:v>
                </c:pt>
                <c:pt idx="224">
                  <c:v>621810.41891896445</c:v>
                </c:pt>
                <c:pt idx="225">
                  <c:v>519213.60768693936</c:v>
                </c:pt>
                <c:pt idx="226">
                  <c:v>510042.07772924664</c:v>
                </c:pt>
                <c:pt idx="227">
                  <c:v>494973.14480703225</c:v>
                </c:pt>
                <c:pt idx="228">
                  <c:v>618639.60621824011</c:v>
                </c:pt>
                <c:pt idx="229">
                  <c:v>760117.40009096952</c:v>
                </c:pt>
                <c:pt idx="230">
                  <c:v>625522.68223168934</c:v>
                </c:pt>
                <c:pt idx="231">
                  <c:v>603870.35145304818</c:v>
                </c:pt>
                <c:pt idx="232">
                  <c:v>626089.96054388944</c:v>
                </c:pt>
                <c:pt idx="233">
                  <c:v>657174.44504040899</c:v>
                </c:pt>
                <c:pt idx="234">
                  <c:v>646469.79307633801</c:v>
                </c:pt>
                <c:pt idx="235">
                  <c:v>671516.11335851892</c:v>
                </c:pt>
                <c:pt idx="236">
                  <c:v>808065.7357199511</c:v>
                </c:pt>
                <c:pt idx="237">
                  <c:v>795796.70190238662</c:v>
                </c:pt>
                <c:pt idx="238">
                  <c:v>772667.64367271343</c:v>
                </c:pt>
                <c:pt idx="239">
                  <c:v>733912.89296962635</c:v>
                </c:pt>
                <c:pt idx="240">
                  <c:v>754416.79769785143</c:v>
                </c:pt>
                <c:pt idx="241">
                  <c:v>661923.92916668579</c:v>
                </c:pt>
                <c:pt idx="242">
                  <c:v>843329.68162956217</c:v>
                </c:pt>
                <c:pt idx="243">
                  <c:v>783935.27422614687</c:v>
                </c:pt>
                <c:pt idx="244">
                  <c:v>781412.15191515046</c:v>
                </c:pt>
                <c:pt idx="245">
                  <c:v>744183.91240631335</c:v>
                </c:pt>
                <c:pt idx="246">
                  <c:v>717079.94362006371</c:v>
                </c:pt>
                <c:pt idx="247">
                  <c:v>683071.14758140617</c:v>
                </c:pt>
                <c:pt idx="248">
                  <c:v>582390.84619911306</c:v>
                </c:pt>
                <c:pt idx="249">
                  <c:v>654358.6151987511</c:v>
                </c:pt>
                <c:pt idx="250">
                  <c:v>650421.67583728558</c:v>
                </c:pt>
                <c:pt idx="251">
                  <c:v>711059.367718647</c:v>
                </c:pt>
                <c:pt idx="252">
                  <c:v>762528.8147524856</c:v>
                </c:pt>
                <c:pt idx="253">
                  <c:v>723599.81278373615</c:v>
                </c:pt>
                <c:pt idx="254">
                  <c:v>707319.57891955459</c:v>
                </c:pt>
                <c:pt idx="255">
                  <c:v>676471.83986802911</c:v>
                </c:pt>
                <c:pt idx="256">
                  <c:v>795688.87299697951</c:v>
                </c:pt>
                <c:pt idx="257">
                  <c:v>700682.04315388156</c:v>
                </c:pt>
                <c:pt idx="258">
                  <c:v>756168.29293979774</c:v>
                </c:pt>
                <c:pt idx="259">
                  <c:v>750727.74037793907</c:v>
                </c:pt>
                <c:pt idx="260">
                  <c:v>524127.29806134815</c:v>
                </c:pt>
                <c:pt idx="261">
                  <c:v>613163.50757963059</c:v>
                </c:pt>
                <c:pt idx="262">
                  <c:v>618894.15577985183</c:v>
                </c:pt>
                <c:pt idx="263">
                  <c:v>594490.59259377467</c:v>
                </c:pt>
                <c:pt idx="264">
                  <c:v>717802.62968097476</c:v>
                </c:pt>
                <c:pt idx="265">
                  <c:v>738616.05739685311</c:v>
                </c:pt>
                <c:pt idx="266">
                  <c:v>723870.84617162438</c:v>
                </c:pt>
                <c:pt idx="267">
                  <c:v>720738.1832024398</c:v>
                </c:pt>
                <c:pt idx="268">
                  <c:v>738831.69415109535</c:v>
                </c:pt>
                <c:pt idx="269">
                  <c:v>702688.66930283327</c:v>
                </c:pt>
                <c:pt idx="270">
                  <c:v>812027.12227560696</c:v>
                </c:pt>
                <c:pt idx="271">
                  <c:v>665019.1810223395</c:v>
                </c:pt>
                <c:pt idx="272">
                  <c:v>643469.57433671842</c:v>
                </c:pt>
                <c:pt idx="273">
                  <c:v>547215.52405018022</c:v>
                </c:pt>
                <c:pt idx="274">
                  <c:v>664064.6361149674</c:v>
                </c:pt>
                <c:pt idx="275">
                  <c:v>612929.93701293669</c:v>
                </c:pt>
                <c:pt idx="276">
                  <c:v>688988.0932297972</c:v>
                </c:pt>
                <c:pt idx="277">
                  <c:v>702739.37544234016</c:v>
                </c:pt>
                <c:pt idx="278">
                  <c:v>739512.99391318904</c:v>
                </c:pt>
                <c:pt idx="279">
                  <c:v>777385.05182639929</c:v>
                </c:pt>
                <c:pt idx="280">
                  <c:v>593492.64275420608</c:v>
                </c:pt>
                <c:pt idx="281">
                  <c:v>603333.90837342571</c:v>
                </c:pt>
                <c:pt idx="282">
                  <c:v>709372.19501123927</c:v>
                </c:pt>
                <c:pt idx="283">
                  <c:v>500169.77210319228</c:v>
                </c:pt>
                <c:pt idx="284">
                  <c:v>672023.99723515008</c:v>
                </c:pt>
                <c:pt idx="285">
                  <c:v>640155.55957422103</c:v>
                </c:pt>
                <c:pt idx="286">
                  <c:v>627350.96471311967</c:v>
                </c:pt>
                <c:pt idx="287">
                  <c:v>574471.1016359122</c:v>
                </c:pt>
                <c:pt idx="288">
                  <c:v>685593.5582416089</c:v>
                </c:pt>
                <c:pt idx="289">
                  <c:v>724761.27205005626</c:v>
                </c:pt>
                <c:pt idx="290">
                  <c:v>721378.28447029332</c:v>
                </c:pt>
                <c:pt idx="291">
                  <c:v>683471.93352116691</c:v>
                </c:pt>
                <c:pt idx="292">
                  <c:v>580323.04999365308</c:v>
                </c:pt>
                <c:pt idx="293">
                  <c:v>545636.47926884913</c:v>
                </c:pt>
                <c:pt idx="294">
                  <c:v>507246.49979337654</c:v>
                </c:pt>
                <c:pt idx="295">
                  <c:v>495129.20814345195</c:v>
                </c:pt>
                <c:pt idx="296">
                  <c:v>661809.30588336685</c:v>
                </c:pt>
                <c:pt idx="297">
                  <c:v>691712.1464796022</c:v>
                </c:pt>
                <c:pt idx="298">
                  <c:v>617728.71051988727</c:v>
                </c:pt>
                <c:pt idx="299">
                  <c:v>434963.8698691618</c:v>
                </c:pt>
                <c:pt idx="300">
                  <c:v>749585.23012253456</c:v>
                </c:pt>
                <c:pt idx="301">
                  <c:v>736352.65270838665</c:v>
                </c:pt>
                <c:pt idx="302">
                  <c:v>761519.46189243346</c:v>
                </c:pt>
                <c:pt idx="303">
                  <c:v>729615.38361783279</c:v>
                </c:pt>
                <c:pt idx="304">
                  <c:v>683427.91609432397</c:v>
                </c:pt>
                <c:pt idx="305">
                  <c:v>590860.3220243766</c:v>
                </c:pt>
                <c:pt idx="306">
                  <c:v>625606.90972311108</c:v>
                </c:pt>
                <c:pt idx="307">
                  <c:v>697897.91239883052</c:v>
                </c:pt>
                <c:pt idx="308">
                  <c:v>642234.85573585075</c:v>
                </c:pt>
                <c:pt idx="309">
                  <c:v>592586.26076922298</c:v>
                </c:pt>
                <c:pt idx="310">
                  <c:v>613370.6376193309</c:v>
                </c:pt>
                <c:pt idx="311">
                  <c:v>773991.91004115564</c:v>
                </c:pt>
                <c:pt idx="312">
                  <c:v>674511.16530916514</c:v>
                </c:pt>
                <c:pt idx="313">
                  <c:v>704778.09029561584</c:v>
                </c:pt>
                <c:pt idx="314">
                  <c:v>686151.87646364025</c:v>
                </c:pt>
                <c:pt idx="315">
                  <c:v>797340.73603419762</c:v>
                </c:pt>
                <c:pt idx="316">
                  <c:v>679929.61733004299</c:v>
                </c:pt>
                <c:pt idx="317">
                  <c:v>520559.26738271432</c:v>
                </c:pt>
                <c:pt idx="318">
                  <c:v>726187.18580447207</c:v>
                </c:pt>
                <c:pt idx="319">
                  <c:v>557781.58846692601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BC-4010-9476-04D5E440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753568"/>
        <c:axId val="1595754528"/>
      </c:scatterChart>
      <c:valAx>
        <c:axId val="159575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754528"/>
        <c:crosses val="autoZero"/>
        <c:crossBetween val="midCat"/>
      </c:valAx>
      <c:valAx>
        <c:axId val="159575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753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31750</xdr:colOff>
      <xdr:row>0</xdr:row>
      <xdr:rowOff>12700</xdr:rowOff>
    </xdr:from>
    <xdr:to>
      <xdr:col>16</xdr:col>
      <xdr:colOff>31750</xdr:colOff>
      <xdr:row>10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3ED03-974F-76E4-FD33-D77D7B511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10</xdr:row>
      <xdr:rowOff>165100</xdr:rowOff>
    </xdr:from>
    <xdr:to>
      <xdr:col>16</xdr:col>
      <xdr:colOff>12700</xdr:colOff>
      <xdr:row>20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1759FF-2830-76AA-FD94-D1C61DC18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A3CA9-02C3-3874-2B71-50BA5992D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20E2FD-0047-7FDB-8626-F36380852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7B99DD-9E9D-FE0D-94E0-FC440EC22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6</xdr:row>
      <xdr:rowOff>177800</xdr:rowOff>
    </xdr:from>
    <xdr:to>
      <xdr:col>18</xdr:col>
      <xdr:colOff>247650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5CCBB0-4038-3374-0464-4E71C876C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8</xdr:row>
      <xdr:rowOff>177800</xdr:rowOff>
    </xdr:from>
    <xdr:to>
      <xdr:col>19</xdr:col>
      <xdr:colOff>247650</xdr:colOff>
      <xdr:row>18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3E4842-EFAC-7871-83A9-78F0B63E6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247650</xdr:colOff>
      <xdr:row>10</xdr:row>
      <xdr:rowOff>177800</xdr:rowOff>
    </xdr:from>
    <xdr:to>
      <xdr:col>20</xdr:col>
      <xdr:colOff>247650</xdr:colOff>
      <xdr:row>20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2201EB-B736-D896-841A-C0E982293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247650</xdr:colOff>
      <xdr:row>12</xdr:row>
      <xdr:rowOff>177800</xdr:rowOff>
    </xdr:from>
    <xdr:to>
      <xdr:col>21</xdr:col>
      <xdr:colOff>247650</xdr:colOff>
      <xdr:row>22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11408E-6E41-F24B-F076-3610CFFC2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247650</xdr:colOff>
      <xdr:row>14</xdr:row>
      <xdr:rowOff>177800</xdr:rowOff>
    </xdr:from>
    <xdr:to>
      <xdr:col>22</xdr:col>
      <xdr:colOff>247650</xdr:colOff>
      <xdr:row>24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F9AB60-D9B3-89D4-8FD9-FB1301111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247650</xdr:colOff>
      <xdr:row>16</xdr:row>
      <xdr:rowOff>177800</xdr:rowOff>
    </xdr:from>
    <xdr:to>
      <xdr:col>23</xdr:col>
      <xdr:colOff>247650</xdr:colOff>
      <xdr:row>26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8BA1E2-DA45-1F08-7B02-C05C8FC83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247650</xdr:colOff>
      <xdr:row>18</xdr:row>
      <xdr:rowOff>177800</xdr:rowOff>
    </xdr:from>
    <xdr:to>
      <xdr:col>24</xdr:col>
      <xdr:colOff>247650</xdr:colOff>
      <xdr:row>28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2D0E2B6-B1D3-B6C3-339E-18DB3BAE7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247650</xdr:colOff>
      <xdr:row>20</xdr:row>
      <xdr:rowOff>177800</xdr:rowOff>
    </xdr:from>
    <xdr:to>
      <xdr:col>25</xdr:col>
      <xdr:colOff>247650</xdr:colOff>
      <xdr:row>30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3C00A7-DF43-7241-5757-444B69CDE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247650</xdr:colOff>
      <xdr:row>22</xdr:row>
      <xdr:rowOff>177800</xdr:rowOff>
    </xdr:from>
    <xdr:to>
      <xdr:col>26</xdr:col>
      <xdr:colOff>247650</xdr:colOff>
      <xdr:row>32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B87897-98BD-A502-4EA0-E5611D86D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247650</xdr:colOff>
      <xdr:row>24</xdr:row>
      <xdr:rowOff>177800</xdr:rowOff>
    </xdr:from>
    <xdr:to>
      <xdr:col>27</xdr:col>
      <xdr:colOff>247650</xdr:colOff>
      <xdr:row>34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97CD2F-45CB-BB6B-5464-6DC16AB05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247650</xdr:colOff>
      <xdr:row>26</xdr:row>
      <xdr:rowOff>177800</xdr:rowOff>
    </xdr:from>
    <xdr:to>
      <xdr:col>28</xdr:col>
      <xdr:colOff>247650</xdr:colOff>
      <xdr:row>36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C0256D8-08C7-0DE6-9DAD-E54D4E009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247650</xdr:colOff>
      <xdr:row>28</xdr:row>
      <xdr:rowOff>177800</xdr:rowOff>
    </xdr:from>
    <xdr:to>
      <xdr:col>29</xdr:col>
      <xdr:colOff>247650</xdr:colOff>
      <xdr:row>38</xdr:row>
      <xdr:rowOff>177800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3A84D2-714E-B018-2BAE-FAF888F3F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247650</xdr:colOff>
      <xdr:row>30</xdr:row>
      <xdr:rowOff>177800</xdr:rowOff>
    </xdr:from>
    <xdr:to>
      <xdr:col>30</xdr:col>
      <xdr:colOff>247650</xdr:colOff>
      <xdr:row>40</xdr:row>
      <xdr:rowOff>177800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7D7E088-2F94-74E1-A78F-AE66482FC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247650</xdr:colOff>
      <xdr:row>32</xdr:row>
      <xdr:rowOff>177800</xdr:rowOff>
    </xdr:from>
    <xdr:to>
      <xdr:col>31</xdr:col>
      <xdr:colOff>247650</xdr:colOff>
      <xdr:row>42</xdr:row>
      <xdr:rowOff>177800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C276ED7-B0E9-4446-149C-2C28B65E7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247650</xdr:colOff>
      <xdr:row>34</xdr:row>
      <xdr:rowOff>177800</xdr:rowOff>
    </xdr:from>
    <xdr:to>
      <xdr:col>32</xdr:col>
      <xdr:colOff>247650</xdr:colOff>
      <xdr:row>44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A9504D4-9D2F-7163-BDB2-D0B3A4BCE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247650</xdr:colOff>
      <xdr:row>36</xdr:row>
      <xdr:rowOff>177800</xdr:rowOff>
    </xdr:from>
    <xdr:to>
      <xdr:col>33</xdr:col>
      <xdr:colOff>247650</xdr:colOff>
      <xdr:row>46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22DEED0-8ACA-0823-F29C-E3F88B239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247650</xdr:colOff>
      <xdr:row>38</xdr:row>
      <xdr:rowOff>177800</xdr:rowOff>
    </xdr:from>
    <xdr:to>
      <xdr:col>34</xdr:col>
      <xdr:colOff>247650</xdr:colOff>
      <xdr:row>48</xdr:row>
      <xdr:rowOff>177800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B538FF-30EF-3B93-825A-5AC2689E0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247650</xdr:colOff>
      <xdr:row>40</xdr:row>
      <xdr:rowOff>177800</xdr:rowOff>
    </xdr:from>
    <xdr:to>
      <xdr:col>35</xdr:col>
      <xdr:colOff>247650</xdr:colOff>
      <xdr:row>50</xdr:row>
      <xdr:rowOff>177800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C60EC3F-4DD2-68C6-F6D1-C87102445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30</xdr:col>
      <xdr:colOff>247650</xdr:colOff>
      <xdr:row>42</xdr:row>
      <xdr:rowOff>177800</xdr:rowOff>
    </xdr:from>
    <xdr:to>
      <xdr:col>36</xdr:col>
      <xdr:colOff>247650</xdr:colOff>
      <xdr:row>52</xdr:row>
      <xdr:rowOff>177800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4D27547-E313-ABF2-CBBD-733537953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247650</xdr:colOff>
      <xdr:row>44</xdr:row>
      <xdr:rowOff>177800</xdr:rowOff>
    </xdr:from>
    <xdr:to>
      <xdr:col>37</xdr:col>
      <xdr:colOff>247650</xdr:colOff>
      <xdr:row>54</xdr:row>
      <xdr:rowOff>177800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D9DAE50-3C9C-158F-61D1-A67D0C63D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32</xdr:col>
      <xdr:colOff>247650</xdr:colOff>
      <xdr:row>46</xdr:row>
      <xdr:rowOff>177800</xdr:rowOff>
    </xdr:from>
    <xdr:to>
      <xdr:col>38</xdr:col>
      <xdr:colOff>247650</xdr:colOff>
      <xdr:row>56</xdr:row>
      <xdr:rowOff>177800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8951BAA-BC1B-CBDB-7E9B-6F7E58E8F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247650</xdr:colOff>
      <xdr:row>48</xdr:row>
      <xdr:rowOff>177800</xdr:rowOff>
    </xdr:from>
    <xdr:to>
      <xdr:col>39</xdr:col>
      <xdr:colOff>247650</xdr:colOff>
      <xdr:row>58</xdr:row>
      <xdr:rowOff>177800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8D5D7EC-2F8F-6EBB-782E-0642C8300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34</xdr:col>
      <xdr:colOff>247650</xdr:colOff>
      <xdr:row>50</xdr:row>
      <xdr:rowOff>177800</xdr:rowOff>
    </xdr:from>
    <xdr:to>
      <xdr:col>40</xdr:col>
      <xdr:colOff>247650</xdr:colOff>
      <xdr:row>60</xdr:row>
      <xdr:rowOff>177800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169A895-D023-5184-6E2F-F0DC916F5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247650</xdr:colOff>
      <xdr:row>52</xdr:row>
      <xdr:rowOff>177800</xdr:rowOff>
    </xdr:from>
    <xdr:to>
      <xdr:col>41</xdr:col>
      <xdr:colOff>247650</xdr:colOff>
      <xdr:row>62</xdr:row>
      <xdr:rowOff>177800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2E08B34-B396-9BBC-5CE3-B5D5E8BEE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36</xdr:col>
      <xdr:colOff>247650</xdr:colOff>
      <xdr:row>54</xdr:row>
      <xdr:rowOff>177800</xdr:rowOff>
    </xdr:from>
    <xdr:to>
      <xdr:col>42</xdr:col>
      <xdr:colOff>247650</xdr:colOff>
      <xdr:row>64</xdr:row>
      <xdr:rowOff>177800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504C0C2-332D-732C-C62C-A7325EE5A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2CE1-A324-40A5-9989-80A62DFC65C7}">
  <dimension ref="A1:C9"/>
  <sheetViews>
    <sheetView workbookViewId="0">
      <selection activeCell="E12" sqref="E12"/>
    </sheetView>
  </sheetViews>
  <sheetFormatPr defaultRowHeight="14.5"/>
  <cols>
    <col min="1" max="1" width="20.08984375" customWidth="1"/>
    <col min="2" max="2" width="14.7265625" customWidth="1"/>
    <col min="3" max="3" width="27.6328125" customWidth="1"/>
  </cols>
  <sheetData>
    <row r="1" spans="1:3">
      <c r="A1" s="4" t="s">
        <v>102</v>
      </c>
      <c r="B1" s="4" t="s">
        <v>103</v>
      </c>
      <c r="C1" s="4" t="s">
        <v>104</v>
      </c>
    </row>
    <row r="2" spans="1:3" ht="29">
      <c r="A2" s="5" t="s">
        <v>105</v>
      </c>
      <c r="B2" s="3">
        <v>320</v>
      </c>
      <c r="C2" s="8" t="s">
        <v>113</v>
      </c>
    </row>
    <row r="3" spans="1:3">
      <c r="A3" s="5" t="s">
        <v>106</v>
      </c>
      <c r="B3" s="3">
        <v>14</v>
      </c>
      <c r="C3" s="8" t="s">
        <v>114</v>
      </c>
    </row>
    <row r="4" spans="1:3" ht="43.5">
      <c r="A4" s="5" t="s">
        <v>107</v>
      </c>
      <c r="B4" s="3">
        <v>14</v>
      </c>
      <c r="C4" s="8" t="s">
        <v>115</v>
      </c>
    </row>
    <row r="5" spans="1:3">
      <c r="A5" s="5" t="s">
        <v>108</v>
      </c>
      <c r="B5" s="3">
        <v>0</v>
      </c>
      <c r="C5" s="8" t="s">
        <v>116</v>
      </c>
    </row>
    <row r="6" spans="1:3">
      <c r="A6" s="5" t="s">
        <v>109</v>
      </c>
      <c r="B6" s="3">
        <v>9</v>
      </c>
      <c r="C6" s="8" t="s">
        <v>117</v>
      </c>
    </row>
    <row r="7" spans="1:3">
      <c r="A7" s="5" t="s">
        <v>110</v>
      </c>
      <c r="B7" s="3">
        <v>2</v>
      </c>
      <c r="C7" s="9" t="s">
        <v>118</v>
      </c>
    </row>
    <row r="8" spans="1:3">
      <c r="A8" s="5" t="s">
        <v>111</v>
      </c>
      <c r="B8" s="3">
        <v>1</v>
      </c>
      <c r="C8" s="9" t="s">
        <v>10</v>
      </c>
    </row>
    <row r="9" spans="1:3" ht="29">
      <c r="A9" s="5" t="s">
        <v>119</v>
      </c>
      <c r="B9" s="3" t="s">
        <v>112</v>
      </c>
      <c r="C9" s="8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8BAD-7178-447D-A964-25DA1A57EDCA}">
  <dimension ref="A1:I343"/>
  <sheetViews>
    <sheetView topLeftCell="A2" zoomScale="74" workbookViewId="0">
      <selection activeCell="B20" sqref="B20"/>
    </sheetView>
  </sheetViews>
  <sheetFormatPr defaultRowHeight="14.5"/>
  <cols>
    <col min="1" max="1" width="15.54296875" customWidth="1"/>
    <col min="2" max="2" width="10.453125" customWidth="1"/>
    <col min="3" max="3" width="12.08984375" customWidth="1"/>
    <col min="4" max="4" width="11.1796875" customWidth="1"/>
    <col min="5" max="5" width="10.453125" customWidth="1"/>
    <col min="6" max="6" width="14.54296875" customWidth="1"/>
    <col min="7" max="7" width="9.453125" customWidth="1"/>
  </cols>
  <sheetData>
    <row r="1" spans="1:9">
      <c r="A1" t="s">
        <v>121</v>
      </c>
    </row>
    <row r="2" spans="1:9" ht="15" thickBot="1"/>
    <row r="3" spans="1:9">
      <c r="A3" s="12" t="s">
        <v>122</v>
      </c>
      <c r="B3" s="12"/>
    </row>
    <row r="4" spans="1:9">
      <c r="A4" t="s">
        <v>123</v>
      </c>
      <c r="B4">
        <v>0.859244855751231</v>
      </c>
    </row>
    <row r="5" spans="1:9">
      <c r="A5" t="s">
        <v>124</v>
      </c>
      <c r="B5">
        <v>0.73830172213495371</v>
      </c>
    </row>
    <row r="6" spans="1:9">
      <c r="A6" t="s">
        <v>125</v>
      </c>
      <c r="B6">
        <v>0.73747617551708289</v>
      </c>
    </row>
    <row r="7" spans="1:9">
      <c r="A7" t="s">
        <v>126</v>
      </c>
      <c r="B7">
        <v>53249.398227864229</v>
      </c>
    </row>
    <row r="8" spans="1:9" ht="15" thickBot="1">
      <c r="A8" s="10" t="s">
        <v>127</v>
      </c>
      <c r="B8" s="10">
        <v>319</v>
      </c>
    </row>
    <row r="10" spans="1:9" ht="15" thickBot="1">
      <c r="A10" t="s">
        <v>128</v>
      </c>
    </row>
    <row r="11" spans="1:9">
      <c r="A11" s="11"/>
      <c r="B11" s="11" t="s">
        <v>133</v>
      </c>
      <c r="C11" s="11" t="s">
        <v>134</v>
      </c>
      <c r="D11" s="11" t="s">
        <v>135</v>
      </c>
      <c r="E11" s="11" t="s">
        <v>136</v>
      </c>
      <c r="F11" s="11" t="s">
        <v>137</v>
      </c>
    </row>
    <row r="12" spans="1:9">
      <c r="A12" t="s">
        <v>129</v>
      </c>
      <c r="B12">
        <v>1</v>
      </c>
      <c r="C12">
        <v>2535839061174.2778</v>
      </c>
      <c r="D12">
        <v>2535839061174.2778</v>
      </c>
      <c r="E12">
        <v>894.31863222834022</v>
      </c>
      <c r="F12">
        <v>2.74098588273739E-94</v>
      </c>
    </row>
    <row r="13" spans="1:9">
      <c r="A13" t="s">
        <v>130</v>
      </c>
      <c r="B13">
        <v>317</v>
      </c>
      <c r="C13">
        <v>898852996486.60547</v>
      </c>
      <c r="D13">
        <v>2835498411.6296701</v>
      </c>
    </row>
    <row r="14" spans="1:9" ht="15" thickBot="1">
      <c r="A14" s="10" t="s">
        <v>131</v>
      </c>
      <c r="B14" s="10">
        <v>318</v>
      </c>
      <c r="C14" s="10">
        <v>3434692057660.8833</v>
      </c>
      <c r="D14" s="10"/>
      <c r="E14" s="10"/>
      <c r="F14" s="10"/>
    </row>
    <row r="15" spans="1:9" ht="15" thickBot="1"/>
    <row r="16" spans="1:9">
      <c r="A16" s="11"/>
      <c r="B16" s="11" t="s">
        <v>138</v>
      </c>
      <c r="C16" s="11" t="s">
        <v>126</v>
      </c>
      <c r="D16" s="11" t="s">
        <v>139</v>
      </c>
      <c r="E16" s="11" t="s">
        <v>140</v>
      </c>
      <c r="F16" s="11" t="s">
        <v>141</v>
      </c>
      <c r="G16" s="11" t="s">
        <v>142</v>
      </c>
      <c r="H16" s="11" t="s">
        <v>143</v>
      </c>
      <c r="I16" s="11" t="s">
        <v>144</v>
      </c>
    </row>
    <row r="17" spans="1:9">
      <c r="A17" t="s">
        <v>132</v>
      </c>
      <c r="B17">
        <v>446190.51501475286</v>
      </c>
      <c r="C17">
        <v>8389.3125699415159</v>
      </c>
      <c r="D17">
        <v>53.185587173546374</v>
      </c>
      <c r="E17">
        <v>5.0528341737437921E-160</v>
      </c>
      <c r="F17">
        <v>429684.74674580886</v>
      </c>
      <c r="G17">
        <v>462696.28328369686</v>
      </c>
      <c r="H17">
        <v>429684.74674580886</v>
      </c>
      <c r="I17">
        <v>462696.28328369686</v>
      </c>
    </row>
    <row r="18" spans="1:9" ht="15" thickBot="1">
      <c r="A18" s="10" t="s">
        <v>156</v>
      </c>
      <c r="B18" s="10">
        <v>35.751619680654599</v>
      </c>
      <c r="C18" s="10">
        <v>1.1955000049838875</v>
      </c>
      <c r="D18" s="10">
        <v>29.905160628699825</v>
      </c>
      <c r="E18" s="10">
        <v>2.740985882738092E-94</v>
      </c>
      <c r="F18" s="10">
        <v>33.399502521677057</v>
      </c>
      <c r="G18" s="10">
        <v>38.103736839632141</v>
      </c>
      <c r="H18" s="10">
        <v>33.399502521677057</v>
      </c>
      <c r="I18" s="10">
        <v>38.103736839632141</v>
      </c>
    </row>
    <row r="22" spans="1:9">
      <c r="A22" t="s">
        <v>145</v>
      </c>
    </row>
    <row r="23" spans="1:9" ht="15" thickBot="1"/>
    <row r="24" spans="1:9">
      <c r="A24" s="11" t="s">
        <v>146</v>
      </c>
      <c r="B24" s="11" t="s">
        <v>147</v>
      </c>
      <c r="C24" s="11" t="s">
        <v>148</v>
      </c>
    </row>
    <row r="25" spans="1:9">
      <c r="A25">
        <v>1</v>
      </c>
      <c r="B25">
        <v>749614.51124446839</v>
      </c>
      <c r="C25">
        <v>-115178.51124446839</v>
      </c>
    </row>
    <row r="26" spans="1:9">
      <c r="A26">
        <v>2</v>
      </c>
      <c r="B26">
        <v>771995.0251645582</v>
      </c>
      <c r="C26">
        <v>-93272.965164558147</v>
      </c>
    </row>
    <row r="27" spans="1:9">
      <c r="A27">
        <v>3</v>
      </c>
      <c r="B27">
        <v>783364.04022300639</v>
      </c>
      <c r="C27">
        <v>-124443.74022300635</v>
      </c>
    </row>
    <row r="28" spans="1:9">
      <c r="A28">
        <v>4</v>
      </c>
      <c r="B28">
        <v>787439.72486660094</v>
      </c>
      <c r="C28">
        <v>-46098.284866600996</v>
      </c>
    </row>
    <row r="29" spans="1:9">
      <c r="A29">
        <v>5</v>
      </c>
      <c r="B29">
        <v>796270.37492772262</v>
      </c>
      <c r="C29">
        <v>-34435.034927722649</v>
      </c>
    </row>
    <row r="30" spans="1:9">
      <c r="A30">
        <v>6</v>
      </c>
      <c r="B30">
        <v>825729.70954458206</v>
      </c>
      <c r="C30">
        <v>-19114.169544582022</v>
      </c>
    </row>
    <row r="31" spans="1:9">
      <c r="A31">
        <v>7</v>
      </c>
      <c r="B31">
        <v>752474.6408189208</v>
      </c>
      <c r="C31">
        <v>97689.619181079208</v>
      </c>
    </row>
    <row r="32" spans="1:9">
      <c r="A32">
        <v>8</v>
      </c>
      <c r="B32">
        <v>838707.54748865962</v>
      </c>
      <c r="C32">
        <v>91874.152511340333</v>
      </c>
    </row>
    <row r="33" spans="1:3">
      <c r="A33">
        <v>9</v>
      </c>
      <c r="B33">
        <v>784365.08557406464</v>
      </c>
      <c r="C33">
        <v>-5354.1455740646925</v>
      </c>
    </row>
    <row r="34" spans="1:3">
      <c r="A34">
        <v>10</v>
      </c>
      <c r="B34">
        <v>774104.37072571693</v>
      </c>
      <c r="C34">
        <v>-51043.610725716921</v>
      </c>
    </row>
    <row r="35" spans="1:3">
      <c r="A35">
        <v>11</v>
      </c>
      <c r="B35">
        <v>847681.20402850397</v>
      </c>
      <c r="C35">
        <v>63110.735971495975</v>
      </c>
    </row>
    <row r="36" spans="1:3">
      <c r="A36">
        <v>12</v>
      </c>
      <c r="B36">
        <v>902917.45643511531</v>
      </c>
      <c r="C36">
        <v>19251.143564884667</v>
      </c>
    </row>
    <row r="37" spans="1:3">
      <c r="A37">
        <v>13</v>
      </c>
      <c r="B37">
        <v>805637.2992840542</v>
      </c>
      <c r="C37">
        <v>-79031.019284054171</v>
      </c>
    </row>
    <row r="38" spans="1:3">
      <c r="A38">
        <v>14</v>
      </c>
      <c r="B38">
        <v>764201.17207417544</v>
      </c>
      <c r="C38">
        <v>-17700.082074175472</v>
      </c>
    </row>
    <row r="39" spans="1:3">
      <c r="A39">
        <v>15</v>
      </c>
      <c r="B39">
        <v>837313.23432111414</v>
      </c>
      <c r="C39">
        <v>-3296.2143211141229</v>
      </c>
    </row>
    <row r="40" spans="1:3">
      <c r="A40">
        <v>16</v>
      </c>
      <c r="B40">
        <v>698489.69510113238</v>
      </c>
      <c r="C40">
        <v>-32337.175101132365</v>
      </c>
    </row>
    <row r="41" spans="1:3">
      <c r="A41">
        <v>17</v>
      </c>
      <c r="B41">
        <v>598599.66971338342</v>
      </c>
      <c r="C41">
        <v>-25444.47971338348</v>
      </c>
    </row>
    <row r="42" spans="1:3">
      <c r="A42">
        <v>18</v>
      </c>
      <c r="B42">
        <v>644182.98480621807</v>
      </c>
      <c r="C42">
        <v>22390.215193781885</v>
      </c>
    </row>
    <row r="43" spans="1:3">
      <c r="A43">
        <v>19</v>
      </c>
      <c r="B43">
        <v>620122.14476113743</v>
      </c>
      <c r="C43">
        <v>-28502.194761137478</v>
      </c>
    </row>
    <row r="44" spans="1:3">
      <c r="A44">
        <v>20</v>
      </c>
      <c r="B44">
        <v>547081.58575356018</v>
      </c>
      <c r="C44">
        <v>-131359.76575356018</v>
      </c>
    </row>
    <row r="45" spans="1:3">
      <c r="A45">
        <v>21</v>
      </c>
      <c r="B45">
        <v>522019.7003574213</v>
      </c>
      <c r="C45">
        <v>-30114.570357421297</v>
      </c>
    </row>
    <row r="46" spans="1:3">
      <c r="A46">
        <v>22</v>
      </c>
      <c r="B46">
        <v>566458.96362047491</v>
      </c>
      <c r="C46">
        <v>-10529.563620474888</v>
      </c>
    </row>
    <row r="47" spans="1:3">
      <c r="A47">
        <v>23</v>
      </c>
      <c r="B47">
        <v>539609.49724030332</v>
      </c>
      <c r="C47">
        <v>26201.492759696674</v>
      </c>
    </row>
    <row r="48" spans="1:3">
      <c r="A48">
        <v>24</v>
      </c>
      <c r="B48">
        <v>811500.56491168158</v>
      </c>
      <c r="C48">
        <v>270.57508831843734</v>
      </c>
    </row>
    <row r="49" spans="1:3">
      <c r="A49">
        <v>25</v>
      </c>
      <c r="B49">
        <v>765345.22390395647</v>
      </c>
      <c r="C49">
        <v>35106.71609604347</v>
      </c>
    </row>
    <row r="50" spans="1:3">
      <c r="A50">
        <v>26</v>
      </c>
      <c r="B50">
        <v>779216.85234005051</v>
      </c>
      <c r="C50">
        <v>4455.9676599494414</v>
      </c>
    </row>
    <row r="51" spans="1:3">
      <c r="A51">
        <v>27</v>
      </c>
      <c r="B51">
        <v>704424.46396812098</v>
      </c>
      <c r="C51">
        <v>-2782.4939681210089</v>
      </c>
    </row>
    <row r="52" spans="1:3">
      <c r="A52">
        <v>28</v>
      </c>
      <c r="B52">
        <v>588767.97430120339</v>
      </c>
      <c r="C52">
        <v>-76923.564301203412</v>
      </c>
    </row>
    <row r="53" spans="1:3">
      <c r="A53">
        <v>29</v>
      </c>
      <c r="B53">
        <v>531636.88605151733</v>
      </c>
      <c r="C53">
        <v>5746.9039484827081</v>
      </c>
    </row>
    <row r="54" spans="1:3">
      <c r="A54">
        <v>30</v>
      </c>
      <c r="B54">
        <v>534532.76724565041</v>
      </c>
      <c r="C54">
        <v>-34359.747245650389</v>
      </c>
    </row>
    <row r="55" spans="1:3">
      <c r="A55">
        <v>31</v>
      </c>
      <c r="B55">
        <v>480905.3377246685</v>
      </c>
      <c r="C55">
        <v>-52987.957724668493</v>
      </c>
    </row>
    <row r="56" spans="1:3">
      <c r="A56">
        <v>32</v>
      </c>
      <c r="B56">
        <v>783292.53698364506</v>
      </c>
      <c r="C56">
        <v>-141427.50698364503</v>
      </c>
    </row>
    <row r="57" spans="1:3">
      <c r="A57">
        <v>33</v>
      </c>
      <c r="B57">
        <v>864305.70718000841</v>
      </c>
      <c r="C57">
        <v>-64827.947180008399</v>
      </c>
    </row>
    <row r="58" spans="1:3">
      <c r="A58">
        <v>34</v>
      </c>
      <c r="B58">
        <v>784007.56937725819</v>
      </c>
      <c r="C58">
        <v>14944.600622741855</v>
      </c>
    </row>
    <row r="59" spans="1:3">
      <c r="A59">
        <v>35</v>
      </c>
      <c r="B59">
        <v>819902.19553663535</v>
      </c>
      <c r="C59">
        <v>-18922.415536635322</v>
      </c>
    </row>
    <row r="60" spans="1:3">
      <c r="A60">
        <v>36</v>
      </c>
      <c r="B60">
        <v>762163.32975237817</v>
      </c>
      <c r="C60">
        <v>58430.600247621886</v>
      </c>
    </row>
    <row r="61" spans="1:3">
      <c r="A61">
        <v>37</v>
      </c>
      <c r="B61">
        <v>737780.72513017175</v>
      </c>
      <c r="C61">
        <v>-19450.19513017172</v>
      </c>
    </row>
    <row r="62" spans="1:3">
      <c r="A62">
        <v>38</v>
      </c>
      <c r="B62">
        <v>716544.26303986297</v>
      </c>
      <c r="C62">
        <v>20089.136960137053</v>
      </c>
    </row>
    <row r="63" spans="1:3">
      <c r="A63">
        <v>39</v>
      </c>
      <c r="B63">
        <v>789334.56070967577</v>
      </c>
      <c r="C63">
        <v>39289.289290324203</v>
      </c>
    </row>
    <row r="64" spans="1:3">
      <c r="A64">
        <v>40</v>
      </c>
      <c r="B64">
        <v>577041.44304594863</v>
      </c>
      <c r="C64">
        <v>15154.406954051345</v>
      </c>
    </row>
    <row r="65" spans="1:3">
      <c r="A65">
        <v>41</v>
      </c>
      <c r="B65">
        <v>561560.99172422523</v>
      </c>
      <c r="C65">
        <v>-28916.531724225264</v>
      </c>
    </row>
    <row r="66" spans="1:3">
      <c r="A66">
        <v>42</v>
      </c>
      <c r="B66">
        <v>566315.95714175235</v>
      </c>
      <c r="C66">
        <v>91113.222858247696</v>
      </c>
    </row>
    <row r="67" spans="1:3">
      <c r="A67">
        <v>43</v>
      </c>
      <c r="B67">
        <v>576397.91389169695</v>
      </c>
      <c r="C67">
        <v>28780.086108303047</v>
      </c>
    </row>
    <row r="68" spans="1:3">
      <c r="A68">
        <v>44</v>
      </c>
      <c r="B68">
        <v>630132.59827172081</v>
      </c>
      <c r="C68">
        <v>-34664.998271720833</v>
      </c>
    </row>
    <row r="69" spans="1:3">
      <c r="A69">
        <v>45</v>
      </c>
      <c r="B69">
        <v>605642.73879047239</v>
      </c>
      <c r="C69">
        <v>-6039.3387904723641</v>
      </c>
    </row>
    <row r="70" spans="1:3">
      <c r="A70">
        <v>46</v>
      </c>
      <c r="B70">
        <v>582189.67627996299</v>
      </c>
      <c r="C70">
        <v>32610.413720036973</v>
      </c>
    </row>
    <row r="71" spans="1:3">
      <c r="A71">
        <v>47</v>
      </c>
      <c r="B71">
        <v>591842.61359373969</v>
      </c>
      <c r="C71">
        <v>-6476.8835937397089</v>
      </c>
    </row>
    <row r="72" spans="1:3">
      <c r="A72">
        <v>48</v>
      </c>
      <c r="B72">
        <v>628666.78186481399</v>
      </c>
      <c r="C72">
        <v>-5855.0418648140039</v>
      </c>
    </row>
    <row r="73" spans="1:3">
      <c r="A73">
        <v>49</v>
      </c>
      <c r="B73">
        <v>644933.76881951175</v>
      </c>
      <c r="C73">
        <v>-41636.198819511803</v>
      </c>
    </row>
    <row r="74" spans="1:3">
      <c r="A74">
        <v>50</v>
      </c>
      <c r="B74">
        <v>630311.35637012403</v>
      </c>
      <c r="C74">
        <v>-4638.4963701240486</v>
      </c>
    </row>
    <row r="75" spans="1:3">
      <c r="A75">
        <v>51</v>
      </c>
      <c r="B75">
        <v>703208.90889897873</v>
      </c>
      <c r="C75">
        <v>70606.231101021287</v>
      </c>
    </row>
    <row r="76" spans="1:3">
      <c r="A76">
        <v>52</v>
      </c>
      <c r="B76">
        <v>563420.07594761928</v>
      </c>
      <c r="C76">
        <v>-99885.825947619276</v>
      </c>
    </row>
    <row r="77" spans="1:3">
      <c r="A77">
        <v>53</v>
      </c>
      <c r="B77">
        <v>656660.30007476651</v>
      </c>
      <c r="C77">
        <v>90017.449925233494</v>
      </c>
    </row>
    <row r="78" spans="1:3">
      <c r="A78">
        <v>54</v>
      </c>
      <c r="B78">
        <v>643396.4491732436</v>
      </c>
      <c r="C78">
        <v>77456.0508267564</v>
      </c>
    </row>
    <row r="79" spans="1:3">
      <c r="A79">
        <v>55</v>
      </c>
      <c r="B79">
        <v>548547.402160467</v>
      </c>
      <c r="C79">
        <v>-61082.492160467023</v>
      </c>
    </row>
    <row r="80" spans="1:3">
      <c r="A80">
        <v>56</v>
      </c>
      <c r="B80">
        <v>531207.86661534954</v>
      </c>
      <c r="C80">
        <v>-13158.606615349534</v>
      </c>
    </row>
    <row r="81" spans="1:3">
      <c r="A81">
        <v>57</v>
      </c>
      <c r="B81">
        <v>536105.83851159923</v>
      </c>
      <c r="C81">
        <v>-35807.358511599246</v>
      </c>
    </row>
    <row r="82" spans="1:3">
      <c r="A82">
        <v>58</v>
      </c>
      <c r="B82">
        <v>589983.52937034564</v>
      </c>
      <c r="C82">
        <v>27307.620629654382</v>
      </c>
    </row>
    <row r="83" spans="1:3">
      <c r="A83">
        <v>59</v>
      </c>
      <c r="B83">
        <v>602675.35435697809</v>
      </c>
      <c r="C83">
        <v>-48918.924356978037</v>
      </c>
    </row>
    <row r="84" spans="1:3">
      <c r="A84">
        <v>60</v>
      </c>
      <c r="B84">
        <v>635888.60904030618</v>
      </c>
      <c r="C84">
        <v>113671.10095969378</v>
      </c>
    </row>
    <row r="85" spans="1:3">
      <c r="A85">
        <v>61</v>
      </c>
      <c r="B85">
        <v>586622.87712036411</v>
      </c>
      <c r="C85">
        <v>29343.602879635873</v>
      </c>
    </row>
    <row r="86" spans="1:3">
      <c r="A86">
        <v>62</v>
      </c>
      <c r="B86">
        <v>583655.49268686981</v>
      </c>
      <c r="C86">
        <v>-11644.292686869856</v>
      </c>
    </row>
    <row r="87" spans="1:3">
      <c r="A87">
        <v>63</v>
      </c>
      <c r="B87">
        <v>682866.23730068631</v>
      </c>
      <c r="C87">
        <v>78993.952699313639</v>
      </c>
    </row>
    <row r="88" spans="1:3">
      <c r="A88">
        <v>64</v>
      </c>
      <c r="B88">
        <v>774211.62558475882</v>
      </c>
      <c r="C88">
        <v>10291.054415241233</v>
      </c>
    </row>
    <row r="89" spans="1:3">
      <c r="A89">
        <v>65</v>
      </c>
      <c r="B89">
        <v>730058.37527915044</v>
      </c>
      <c r="C89">
        <v>-12916.825279150391</v>
      </c>
    </row>
    <row r="90" spans="1:3">
      <c r="A90">
        <v>66</v>
      </c>
      <c r="B90">
        <v>790407.10930009536</v>
      </c>
      <c r="C90">
        <v>-105028.0293000954</v>
      </c>
    </row>
    <row r="91" spans="1:3">
      <c r="A91">
        <v>67</v>
      </c>
      <c r="B91">
        <v>742785.95188546344</v>
      </c>
      <c r="C91">
        <v>-2289.3018854634138</v>
      </c>
    </row>
    <row r="92" spans="1:3">
      <c r="A92">
        <v>68</v>
      </c>
      <c r="B92">
        <v>574717.58776670613</v>
      </c>
      <c r="C92">
        <v>87209.552233293885</v>
      </c>
    </row>
    <row r="93" spans="1:3">
      <c r="A93">
        <v>69</v>
      </c>
      <c r="B93">
        <v>547510.60518972797</v>
      </c>
      <c r="C93">
        <v>-68460.105189727969</v>
      </c>
    </row>
    <row r="94" spans="1:3">
      <c r="A94">
        <v>70</v>
      </c>
      <c r="B94">
        <v>560345.43665508297</v>
      </c>
      <c r="C94">
        <v>44678.433344917023</v>
      </c>
    </row>
    <row r="95" spans="1:3">
      <c r="A95">
        <v>71</v>
      </c>
      <c r="B95">
        <v>642288.14896314335</v>
      </c>
      <c r="C95">
        <v>32485.941036856617</v>
      </c>
    </row>
    <row r="96" spans="1:3">
      <c r="A96">
        <v>72</v>
      </c>
      <c r="B96">
        <v>657768.60028486676</v>
      </c>
      <c r="C96">
        <v>-41699.190284866723</v>
      </c>
    </row>
    <row r="97" spans="1:3">
      <c r="A97">
        <v>73</v>
      </c>
      <c r="B97">
        <v>690052.31285649794</v>
      </c>
      <c r="C97">
        <v>-59222.372856497997</v>
      </c>
    </row>
    <row r="98" spans="1:3">
      <c r="A98">
        <v>74</v>
      </c>
      <c r="B98">
        <v>689516.03856128803</v>
      </c>
      <c r="C98">
        <v>98571.641438712017</v>
      </c>
    </row>
    <row r="99" spans="1:3">
      <c r="A99">
        <v>75</v>
      </c>
      <c r="B99">
        <v>741212.88061951462</v>
      </c>
      <c r="C99">
        <v>-60372.520619514631</v>
      </c>
    </row>
    <row r="100" spans="1:3">
      <c r="A100">
        <v>76</v>
      </c>
      <c r="B100">
        <v>684367.80532727379</v>
      </c>
      <c r="C100">
        <v>-40710.335327273817</v>
      </c>
    </row>
    <row r="101" spans="1:3">
      <c r="A101">
        <v>77</v>
      </c>
      <c r="B101">
        <v>659341.67155081558</v>
      </c>
      <c r="C101">
        <v>31770.928449184401</v>
      </c>
    </row>
    <row r="102" spans="1:3">
      <c r="A102">
        <v>78</v>
      </c>
      <c r="B102">
        <v>713255.11402924266</v>
      </c>
      <c r="C102">
        <v>63667.055970757385</v>
      </c>
    </row>
    <row r="103" spans="1:3">
      <c r="A103">
        <v>79</v>
      </c>
      <c r="B103">
        <v>659770.69098698348</v>
      </c>
      <c r="C103">
        <v>-23209.350986983511</v>
      </c>
    </row>
    <row r="104" spans="1:3">
      <c r="A104">
        <v>80</v>
      </c>
      <c r="B104">
        <v>639606.77748709428</v>
      </c>
      <c r="C104">
        <v>-18237.197487094323</v>
      </c>
    </row>
    <row r="105" spans="1:3">
      <c r="A105">
        <v>81</v>
      </c>
      <c r="B105">
        <v>605320.97421334649</v>
      </c>
      <c r="C105">
        <v>76887.03578665352</v>
      </c>
    </row>
    <row r="106" spans="1:3">
      <c r="A106">
        <v>82</v>
      </c>
      <c r="B106">
        <v>612221.03681171278</v>
      </c>
      <c r="C106">
        <v>115020.82318828721</v>
      </c>
    </row>
    <row r="107" spans="1:3">
      <c r="A107">
        <v>83</v>
      </c>
      <c r="B107">
        <v>573430.52945820254</v>
      </c>
      <c r="C107">
        <v>-4329.7494582025101</v>
      </c>
    </row>
    <row r="108" spans="1:3">
      <c r="A108">
        <v>84</v>
      </c>
      <c r="B108">
        <v>556698.77144765621</v>
      </c>
      <c r="C108">
        <v>17737.518552343827</v>
      </c>
    </row>
    <row r="109" spans="1:3">
      <c r="A109">
        <v>85</v>
      </c>
      <c r="B109">
        <v>589340.00021609385</v>
      </c>
      <c r="C109">
        <v>22426.719783906126</v>
      </c>
    </row>
    <row r="110" spans="1:3">
      <c r="A110">
        <v>86</v>
      </c>
      <c r="B110">
        <v>581617.65036507254</v>
      </c>
      <c r="C110">
        <v>32978.669634927413</v>
      </c>
    </row>
    <row r="111" spans="1:3">
      <c r="A111">
        <v>87</v>
      </c>
      <c r="B111">
        <v>491237.55581237766</v>
      </c>
      <c r="C111">
        <v>-40525.635812377674</v>
      </c>
    </row>
    <row r="112" spans="1:3">
      <c r="A112">
        <v>88</v>
      </c>
      <c r="B112">
        <v>697309.8916516708</v>
      </c>
      <c r="C112">
        <v>13903.568348329165</v>
      </c>
    </row>
    <row r="113" spans="1:3">
      <c r="A113">
        <v>89</v>
      </c>
      <c r="B113">
        <v>639249.26129028772</v>
      </c>
      <c r="C113">
        <v>-12077.361290287692</v>
      </c>
    </row>
    <row r="114" spans="1:3">
      <c r="A114">
        <v>90</v>
      </c>
      <c r="B114">
        <v>660271.2136625126</v>
      </c>
      <c r="C114">
        <v>79581.366337487358</v>
      </c>
    </row>
    <row r="115" spans="1:3">
      <c r="A115">
        <v>91</v>
      </c>
      <c r="B115">
        <v>578507.25945285556</v>
      </c>
      <c r="C115">
        <v>7799.9605471444083</v>
      </c>
    </row>
    <row r="116" spans="1:3">
      <c r="A116">
        <v>92</v>
      </c>
      <c r="B116">
        <v>607394.56815482443</v>
      </c>
      <c r="C116">
        <v>-21457.088154824451</v>
      </c>
    </row>
    <row r="117" spans="1:3">
      <c r="A117">
        <v>93</v>
      </c>
      <c r="B117">
        <v>677753.75568635273</v>
      </c>
      <c r="C117">
        <v>75719.794313647319</v>
      </c>
    </row>
    <row r="118" spans="1:3">
      <c r="A118">
        <v>94</v>
      </c>
      <c r="B118">
        <v>731130.92386957002</v>
      </c>
      <c r="C118">
        <v>107119.39613042993</v>
      </c>
    </row>
    <row r="119" spans="1:3">
      <c r="A119">
        <v>95</v>
      </c>
      <c r="B119">
        <v>662738.07542047778</v>
      </c>
      <c r="C119">
        <v>-54839.955420477781</v>
      </c>
    </row>
    <row r="120" spans="1:3">
      <c r="A120">
        <v>96</v>
      </c>
      <c r="B120">
        <v>674786.37125285831</v>
      </c>
      <c r="C120">
        <v>16327.248747141683</v>
      </c>
    </row>
    <row r="121" spans="1:3">
      <c r="A121">
        <v>97</v>
      </c>
      <c r="B121">
        <v>630311.35637012403</v>
      </c>
      <c r="C121">
        <v>105198.04362987599</v>
      </c>
    </row>
    <row r="122" spans="1:3">
      <c r="A122">
        <v>98</v>
      </c>
      <c r="B122">
        <v>614652.1469499974</v>
      </c>
      <c r="C122">
        <v>-8876.8169499974465</v>
      </c>
    </row>
    <row r="123" spans="1:3">
      <c r="A123">
        <v>99</v>
      </c>
      <c r="B123">
        <v>634994.81854828983</v>
      </c>
      <c r="C123">
        <v>40182.861451710225</v>
      </c>
    </row>
    <row r="124" spans="1:3">
      <c r="A124">
        <v>100</v>
      </c>
      <c r="B124">
        <v>576397.91389169695</v>
      </c>
      <c r="C124">
        <v>58783.436108303024</v>
      </c>
    </row>
    <row r="125" spans="1:3">
      <c r="A125">
        <v>101</v>
      </c>
      <c r="B125">
        <v>602532.34787825542</v>
      </c>
      <c r="C125">
        <v>-15905.407878255472</v>
      </c>
    </row>
    <row r="126" spans="1:3">
      <c r="A126">
        <v>102</v>
      </c>
      <c r="B126">
        <v>690445.58067298506</v>
      </c>
      <c r="C126">
        <v>49657.059327014955</v>
      </c>
    </row>
    <row r="127" spans="1:3">
      <c r="A127">
        <v>103</v>
      </c>
      <c r="B127">
        <v>532494.92492385302</v>
      </c>
      <c r="C127">
        <v>93019.11507614702</v>
      </c>
    </row>
    <row r="128" spans="1:3">
      <c r="A128">
        <v>104</v>
      </c>
      <c r="B128">
        <v>709822.9585398999</v>
      </c>
      <c r="C128">
        <v>17404.241460100049</v>
      </c>
    </row>
    <row r="129" spans="1:3">
      <c r="A129">
        <v>105</v>
      </c>
      <c r="B129">
        <v>758623.91940399341</v>
      </c>
      <c r="C129">
        <v>25173.970596006606</v>
      </c>
    </row>
    <row r="130" spans="1:3">
      <c r="A130">
        <v>106</v>
      </c>
      <c r="B130">
        <v>696165.83982188976</v>
      </c>
      <c r="C130">
        <v>98988.000178110204</v>
      </c>
    </row>
    <row r="131" spans="1:3">
      <c r="A131">
        <v>107</v>
      </c>
      <c r="B131">
        <v>700277.2760851651</v>
      </c>
      <c r="C131">
        <v>-34682.336085165152</v>
      </c>
    </row>
    <row r="132" spans="1:3">
      <c r="A132">
        <v>108</v>
      </c>
      <c r="B132">
        <v>695558.06228731875</v>
      </c>
      <c r="C132">
        <v>13920.327712681261</v>
      </c>
    </row>
    <row r="133" spans="1:3">
      <c r="A133">
        <v>109</v>
      </c>
      <c r="B133">
        <v>642574.16192058858</v>
      </c>
      <c r="C133">
        <v>21588.328079411411</v>
      </c>
    </row>
    <row r="134" spans="1:3">
      <c r="A134">
        <v>110</v>
      </c>
      <c r="B134">
        <v>649474.22451895487</v>
      </c>
      <c r="C134">
        <v>-15980.014518954908</v>
      </c>
    </row>
    <row r="135" spans="1:3">
      <c r="A135">
        <v>111</v>
      </c>
      <c r="B135">
        <v>591449.34577725246</v>
      </c>
      <c r="C135">
        <v>122161.81422274758</v>
      </c>
    </row>
    <row r="136" spans="1:3">
      <c r="A136">
        <v>112</v>
      </c>
      <c r="B136">
        <v>766739.53707150207</v>
      </c>
      <c r="C136">
        <v>11658.432928497903</v>
      </c>
    </row>
    <row r="137" spans="1:3">
      <c r="A137">
        <v>113</v>
      </c>
      <c r="B137">
        <v>785437.63416448433</v>
      </c>
      <c r="C137">
        <v>87942.385835515684</v>
      </c>
    </row>
    <row r="138" spans="1:3">
      <c r="A138">
        <v>114</v>
      </c>
      <c r="B138">
        <v>775999.20656879153</v>
      </c>
      <c r="C138">
        <v>-78711.306568791508</v>
      </c>
    </row>
    <row r="139" spans="1:3">
      <c r="A139">
        <v>115</v>
      </c>
      <c r="B139">
        <v>776857.24544112734</v>
      </c>
      <c r="C139">
        <v>-58782.455441127298</v>
      </c>
    </row>
    <row r="140" spans="1:3">
      <c r="A140">
        <v>116</v>
      </c>
      <c r="B140">
        <v>725803.93253715243</v>
      </c>
      <c r="C140">
        <v>-10861.502537152381</v>
      </c>
    </row>
    <row r="141" spans="1:3">
      <c r="A141">
        <v>117</v>
      </c>
      <c r="B141">
        <v>747719.67540139379</v>
      </c>
      <c r="C141">
        <v>72799.364598606247</v>
      </c>
    </row>
    <row r="142" spans="1:3">
      <c r="A142">
        <v>118</v>
      </c>
      <c r="B142">
        <v>750508.30173648475</v>
      </c>
      <c r="C142">
        <v>-66290.981736484799</v>
      </c>
    </row>
    <row r="143" spans="1:3">
      <c r="A143">
        <v>119</v>
      </c>
      <c r="B143">
        <v>725625.17443874921</v>
      </c>
      <c r="C143">
        <v>9855.0155612507369</v>
      </c>
    </row>
    <row r="144" spans="1:3">
      <c r="A144">
        <v>120</v>
      </c>
      <c r="B144">
        <v>583941.50564431504</v>
      </c>
      <c r="C144">
        <v>-74456.695644315041</v>
      </c>
    </row>
    <row r="145" spans="1:3">
      <c r="A145">
        <v>121</v>
      </c>
      <c r="B145">
        <v>578256.99811509089</v>
      </c>
      <c r="C145">
        <v>76060.091884909081</v>
      </c>
    </row>
    <row r="146" spans="1:3">
      <c r="A146">
        <v>122</v>
      </c>
      <c r="B146">
        <v>604319.92886228813</v>
      </c>
      <c r="C146">
        <v>-46832.668862288119</v>
      </c>
    </row>
    <row r="147" spans="1:3">
      <c r="A147">
        <v>123</v>
      </c>
      <c r="B147">
        <v>514333.10212608054</v>
      </c>
      <c r="C147">
        <v>-73057.682126080559</v>
      </c>
    </row>
    <row r="148" spans="1:3">
      <c r="A148">
        <v>124</v>
      </c>
      <c r="B148">
        <v>817864.35321483808</v>
      </c>
      <c r="C148">
        <v>96679.816785161966</v>
      </c>
    </row>
    <row r="149" spans="1:3">
      <c r="A149">
        <v>125</v>
      </c>
      <c r="B149">
        <v>842175.45459768316</v>
      </c>
      <c r="C149">
        <v>264.21540231688414</v>
      </c>
    </row>
    <row r="150" spans="1:3">
      <c r="A150">
        <v>126</v>
      </c>
      <c r="B150">
        <v>788476.52183733997</v>
      </c>
      <c r="C150">
        <v>53681.398162660073</v>
      </c>
    </row>
    <row r="151" spans="1:3">
      <c r="A151">
        <v>127</v>
      </c>
      <c r="B151">
        <v>740104.58040941437</v>
      </c>
      <c r="C151">
        <v>-42949.280409414321</v>
      </c>
    </row>
    <row r="152" spans="1:3">
      <c r="A152">
        <v>128</v>
      </c>
      <c r="B152">
        <v>825801.2127839434</v>
      </c>
      <c r="C152">
        <v>23217.087216056651</v>
      </c>
    </row>
    <row r="153" spans="1:3">
      <c r="A153">
        <v>129</v>
      </c>
      <c r="B153">
        <v>825014.67715096893</v>
      </c>
      <c r="C153">
        <v>-23184.327150968951</v>
      </c>
    </row>
    <row r="154" spans="1:3">
      <c r="A154">
        <v>130</v>
      </c>
      <c r="B154">
        <v>790085.34472296946</v>
      </c>
      <c r="C154">
        <v>-64850.06472296943</v>
      </c>
    </row>
    <row r="155" spans="1:3">
      <c r="A155">
        <v>131</v>
      </c>
      <c r="B155">
        <v>833595.06587432604</v>
      </c>
      <c r="C155">
        <v>-22142.345874326071</v>
      </c>
    </row>
    <row r="156" spans="1:3">
      <c r="A156">
        <v>132</v>
      </c>
      <c r="B156">
        <v>554982.69370298483</v>
      </c>
      <c r="C156">
        <v>-27682.563702984829</v>
      </c>
    </row>
    <row r="157" spans="1:3">
      <c r="A157">
        <v>133</v>
      </c>
      <c r="B157">
        <v>511043.95311546029</v>
      </c>
      <c r="C157">
        <v>-110212.30311546026</v>
      </c>
    </row>
    <row r="158" spans="1:3">
      <c r="A158">
        <v>134</v>
      </c>
      <c r="B158">
        <v>575539.87501936127</v>
      </c>
      <c r="C158">
        <v>17707.374980638735</v>
      </c>
    </row>
    <row r="159" spans="1:3">
      <c r="A159">
        <v>135</v>
      </c>
      <c r="B159">
        <v>516370.94444787782</v>
      </c>
      <c r="C159">
        <v>12705.005552122137</v>
      </c>
    </row>
    <row r="160" spans="1:3">
      <c r="A160">
        <v>136</v>
      </c>
      <c r="B160">
        <v>728199.29105575639</v>
      </c>
      <c r="C160">
        <v>-94561.26105575636</v>
      </c>
    </row>
    <row r="161" spans="1:3">
      <c r="A161">
        <v>137</v>
      </c>
      <c r="B161">
        <v>669423.62830076017</v>
      </c>
      <c r="C161">
        <v>73925.211699239793</v>
      </c>
    </row>
    <row r="162" spans="1:3">
      <c r="A162">
        <v>138</v>
      </c>
      <c r="B162">
        <v>680149.11420495657</v>
      </c>
      <c r="C162">
        <v>78678.525795043446</v>
      </c>
    </row>
    <row r="163" spans="1:3">
      <c r="A163">
        <v>139</v>
      </c>
      <c r="B163">
        <v>641573.11656953022</v>
      </c>
      <c r="C163">
        <v>4986.5934304697439</v>
      </c>
    </row>
    <row r="164" spans="1:3">
      <c r="A164">
        <v>140</v>
      </c>
      <c r="B164">
        <v>675966.17470232002</v>
      </c>
      <c r="C164">
        <v>39924.355297680013</v>
      </c>
    </row>
    <row r="165" spans="1:3">
      <c r="A165">
        <v>141</v>
      </c>
      <c r="B165">
        <v>685869.37335386127</v>
      </c>
      <c r="C165">
        <v>29228.196646138676</v>
      </c>
    </row>
    <row r="166" spans="1:3">
      <c r="A166">
        <v>142</v>
      </c>
      <c r="B166">
        <v>648008.40811204806</v>
      </c>
      <c r="C166">
        <v>34630.871887951973</v>
      </c>
    </row>
    <row r="167" spans="1:3">
      <c r="A167">
        <v>143</v>
      </c>
      <c r="B167">
        <v>663882.12725025869</v>
      </c>
      <c r="C167">
        <v>31216.382749741315</v>
      </c>
    </row>
    <row r="168" spans="1:3">
      <c r="A168">
        <v>144</v>
      </c>
      <c r="B168">
        <v>600351.49907773547</v>
      </c>
      <c r="C168">
        <v>-22618.92907773552</v>
      </c>
    </row>
    <row r="169" spans="1:3">
      <c r="A169">
        <v>145</v>
      </c>
      <c r="B169">
        <v>558879.62024817616</v>
      </c>
      <c r="C169">
        <v>-21821.290248176199</v>
      </c>
    </row>
    <row r="170" spans="1:3">
      <c r="A170">
        <v>146</v>
      </c>
      <c r="B170">
        <v>598456.66323466087</v>
      </c>
      <c r="C170">
        <v>3112.2067653391277</v>
      </c>
    </row>
    <row r="171" spans="1:3">
      <c r="A171">
        <v>147</v>
      </c>
      <c r="B171">
        <v>565958.44094494579</v>
      </c>
      <c r="C171">
        <v>5006.3990550541785</v>
      </c>
    </row>
    <row r="172" spans="1:3">
      <c r="A172">
        <v>148</v>
      </c>
      <c r="B172">
        <v>636710.8962929612</v>
      </c>
      <c r="C172">
        <v>-22685.98629296117</v>
      </c>
    </row>
    <row r="173" spans="1:3">
      <c r="A173">
        <v>149</v>
      </c>
      <c r="B173">
        <v>680399.37554272113</v>
      </c>
      <c r="C173">
        <v>32468.974457278848</v>
      </c>
    </row>
    <row r="174" spans="1:3">
      <c r="A174">
        <v>150</v>
      </c>
      <c r="B174">
        <v>644612.00424238585</v>
      </c>
      <c r="C174">
        <v>52132.145757614169</v>
      </c>
    </row>
    <row r="175" spans="1:3">
      <c r="A175">
        <v>151</v>
      </c>
      <c r="B175">
        <v>657518.33894710219</v>
      </c>
      <c r="C175">
        <v>68329.651052897796</v>
      </c>
    </row>
    <row r="176" spans="1:3">
      <c r="A176">
        <v>152</v>
      </c>
      <c r="B176">
        <v>792051.6838054054</v>
      </c>
      <c r="C176">
        <v>-7023.4338054053951</v>
      </c>
    </row>
    <row r="177" spans="1:3">
      <c r="A177">
        <v>153</v>
      </c>
      <c r="B177">
        <v>687156.43166236486</v>
      </c>
      <c r="C177">
        <v>11336.238337635179</v>
      </c>
    </row>
    <row r="178" spans="1:3">
      <c r="A178">
        <v>154</v>
      </c>
      <c r="B178">
        <v>723086.80944142281</v>
      </c>
      <c r="C178">
        <v>-37256.56944142282</v>
      </c>
    </row>
    <row r="179" spans="1:3">
      <c r="A179">
        <v>155</v>
      </c>
      <c r="B179">
        <v>721227.72521802876</v>
      </c>
      <c r="C179">
        <v>-18908.785218028817</v>
      </c>
    </row>
    <row r="180" spans="1:3">
      <c r="A180">
        <v>156</v>
      </c>
      <c r="B180">
        <v>675858.91984327801</v>
      </c>
      <c r="C180">
        <v>24219.400156721938</v>
      </c>
    </row>
    <row r="181" spans="1:3">
      <c r="A181">
        <v>157</v>
      </c>
      <c r="B181">
        <v>639249.26129028772</v>
      </c>
      <c r="C181">
        <v>-37246.941290287767</v>
      </c>
    </row>
    <row r="182" spans="1:3">
      <c r="A182">
        <v>158</v>
      </c>
      <c r="B182">
        <v>696988.1270745449</v>
      </c>
      <c r="C182">
        <v>27227.942925455049</v>
      </c>
    </row>
    <row r="183" spans="1:3">
      <c r="A183">
        <v>159</v>
      </c>
      <c r="B183">
        <v>583726.99592623115</v>
      </c>
      <c r="C183">
        <v>37246.034073768882</v>
      </c>
    </row>
    <row r="184" spans="1:3">
      <c r="A184">
        <v>160</v>
      </c>
      <c r="B184">
        <v>712718.83973403298</v>
      </c>
      <c r="C184">
        <v>-62238.779734032927</v>
      </c>
    </row>
    <row r="185" spans="1:3">
      <c r="A185">
        <v>161</v>
      </c>
      <c r="B185">
        <v>696165.83982188976</v>
      </c>
      <c r="C185">
        <v>82133.040178110241</v>
      </c>
    </row>
    <row r="186" spans="1:3">
      <c r="A186">
        <v>162</v>
      </c>
      <c r="B186">
        <v>733562.03400785453</v>
      </c>
      <c r="C186">
        <v>-56465.324007854564</v>
      </c>
    </row>
    <row r="187" spans="1:3">
      <c r="A187">
        <v>163</v>
      </c>
      <c r="B187">
        <v>662666.57218111644</v>
      </c>
      <c r="C187">
        <v>29342.067818883574</v>
      </c>
    </row>
    <row r="188" spans="1:3">
      <c r="A188">
        <v>164</v>
      </c>
      <c r="B188">
        <v>779502.86529749562</v>
      </c>
      <c r="C188">
        <v>46295.044702504412</v>
      </c>
    </row>
    <row r="189" spans="1:3">
      <c r="A189">
        <v>165</v>
      </c>
      <c r="B189">
        <v>760411.50038802612</v>
      </c>
      <c r="C189">
        <v>-54125.980388026102</v>
      </c>
    </row>
    <row r="190" spans="1:3">
      <c r="A190">
        <v>166</v>
      </c>
      <c r="B190">
        <v>694271.00397881516</v>
      </c>
      <c r="C190">
        <v>-28736.303978815209</v>
      </c>
    </row>
    <row r="191" spans="1:3">
      <c r="A191">
        <v>167</v>
      </c>
      <c r="B191">
        <v>783685.80480013229</v>
      </c>
      <c r="C191">
        <v>37043.485199867748</v>
      </c>
    </row>
    <row r="192" spans="1:3">
      <c r="A192">
        <v>168</v>
      </c>
      <c r="B192">
        <v>781326.19790120912</v>
      </c>
      <c r="C192">
        <v>-41494.467901209136</v>
      </c>
    </row>
    <row r="193" spans="1:3">
      <c r="A193">
        <v>169</v>
      </c>
      <c r="B193">
        <v>717044.78571539209</v>
      </c>
      <c r="C193">
        <v>-123407.64571539208</v>
      </c>
    </row>
    <row r="194" spans="1:3">
      <c r="A194">
        <v>170</v>
      </c>
      <c r="B194">
        <v>766131.75953693083</v>
      </c>
      <c r="C194">
        <v>3571.0004630691838</v>
      </c>
    </row>
    <row r="195" spans="1:3">
      <c r="A195">
        <v>171</v>
      </c>
      <c r="B195">
        <v>720441.18958505429</v>
      </c>
      <c r="C195">
        <v>-40709.619585054344</v>
      </c>
    </row>
    <row r="196" spans="1:3">
      <c r="A196">
        <v>172</v>
      </c>
      <c r="B196">
        <v>758695.42264335463</v>
      </c>
      <c r="C196">
        <v>21648.757356645423</v>
      </c>
    </row>
    <row r="197" spans="1:3">
      <c r="A197">
        <v>173</v>
      </c>
      <c r="B197">
        <v>785115.86958735844</v>
      </c>
      <c r="C197">
        <v>-63751.759587358451</v>
      </c>
    </row>
    <row r="198" spans="1:3">
      <c r="A198">
        <v>174</v>
      </c>
      <c r="B198">
        <v>797485.92999686487</v>
      </c>
      <c r="C198">
        <v>-39347.639996864833</v>
      </c>
    </row>
    <row r="199" spans="1:3">
      <c r="A199">
        <v>175</v>
      </c>
      <c r="B199">
        <v>818078.86293292209</v>
      </c>
      <c r="C199">
        <v>-13814.862932922086</v>
      </c>
    </row>
    <row r="200" spans="1:3">
      <c r="A200">
        <v>176</v>
      </c>
      <c r="B200">
        <v>888116.28588732437</v>
      </c>
      <c r="C200">
        <v>-578.53588732436765</v>
      </c>
    </row>
    <row r="201" spans="1:3">
      <c r="A201">
        <v>177</v>
      </c>
      <c r="B201">
        <v>729522.10098394053</v>
      </c>
      <c r="C201">
        <v>54059.899016059469</v>
      </c>
    </row>
    <row r="202" spans="1:3">
      <c r="A202">
        <v>178</v>
      </c>
      <c r="B202">
        <v>763307.38158215908</v>
      </c>
      <c r="C202">
        <v>18648.138417840935</v>
      </c>
    </row>
    <row r="203" spans="1:3">
      <c r="A203">
        <v>179</v>
      </c>
      <c r="B203">
        <v>803670.96020161826</v>
      </c>
      <c r="C203">
        <v>94360.079798381776</v>
      </c>
    </row>
    <row r="204" spans="1:3">
      <c r="A204">
        <v>180</v>
      </c>
      <c r="B204">
        <v>844964.08093277435</v>
      </c>
      <c r="C204">
        <v>10377.19906722568</v>
      </c>
    </row>
    <row r="205" spans="1:3">
      <c r="A205">
        <v>181</v>
      </c>
      <c r="B205">
        <v>778215.80698899215</v>
      </c>
      <c r="C205">
        <v>-26821.926988992142</v>
      </c>
    </row>
    <row r="206" spans="1:3">
      <c r="A206">
        <v>182</v>
      </c>
      <c r="B206">
        <v>796985.40732133575</v>
      </c>
      <c r="C206">
        <v>-35908.32732133579</v>
      </c>
    </row>
    <row r="207" spans="1:3">
      <c r="A207">
        <v>183</v>
      </c>
      <c r="B207">
        <v>830198.66200466384</v>
      </c>
      <c r="C207">
        <v>-10538.072004663874</v>
      </c>
    </row>
    <row r="208" spans="1:3">
      <c r="A208">
        <v>184</v>
      </c>
      <c r="B208">
        <v>663703.36915185547</v>
      </c>
      <c r="C208">
        <v>18152.190848144586</v>
      </c>
    </row>
    <row r="209" spans="1:3">
      <c r="A209">
        <v>185</v>
      </c>
      <c r="B209">
        <v>633958.0215775508</v>
      </c>
      <c r="C209">
        <v>44353.148422449245</v>
      </c>
    </row>
    <row r="210" spans="1:3">
      <c r="A210">
        <v>186</v>
      </c>
      <c r="B210">
        <v>679148.06885389821</v>
      </c>
      <c r="C210">
        <v>86758.881146101747</v>
      </c>
    </row>
    <row r="211" spans="1:3">
      <c r="A211">
        <v>187</v>
      </c>
      <c r="B211">
        <v>729772.36232170509</v>
      </c>
      <c r="C211">
        <v>-17225.982321705087</v>
      </c>
    </row>
    <row r="212" spans="1:3">
      <c r="A212">
        <v>188</v>
      </c>
      <c r="B212">
        <v>571535.69361512794</v>
      </c>
      <c r="C212">
        <v>54458.136384872021</v>
      </c>
    </row>
    <row r="213" spans="1:3">
      <c r="A213">
        <v>189</v>
      </c>
      <c r="B213">
        <v>528848.25971642626</v>
      </c>
      <c r="C213">
        <v>22114.670283573796</v>
      </c>
    </row>
    <row r="214" spans="1:3">
      <c r="A214">
        <v>190</v>
      </c>
      <c r="B214">
        <v>491523.56876982289</v>
      </c>
      <c r="C214">
        <v>-48247.978769822861</v>
      </c>
    </row>
    <row r="215" spans="1:3">
      <c r="A215">
        <v>191</v>
      </c>
      <c r="B215">
        <v>604319.92886228813</v>
      </c>
      <c r="C215">
        <v>-50307.85886228818</v>
      </c>
    </row>
    <row r="216" spans="1:3">
      <c r="A216">
        <v>192</v>
      </c>
      <c r="B216">
        <v>667028.26978215633</v>
      </c>
      <c r="C216">
        <v>-23599.419782156358</v>
      </c>
    </row>
    <row r="217" spans="1:3">
      <c r="A217">
        <v>193</v>
      </c>
      <c r="B217">
        <v>630311.35637012403</v>
      </c>
      <c r="C217">
        <v>-18387.086370124016</v>
      </c>
    </row>
    <row r="218" spans="1:3">
      <c r="A218">
        <v>194</v>
      </c>
      <c r="B218">
        <v>581438.89226666919</v>
      </c>
      <c r="C218">
        <v>-22016.872266669176</v>
      </c>
    </row>
    <row r="219" spans="1:3">
      <c r="A219">
        <v>195</v>
      </c>
      <c r="B219">
        <v>558271.84271360503</v>
      </c>
      <c r="C219">
        <v>-108806.78271360503</v>
      </c>
    </row>
    <row r="220" spans="1:3">
      <c r="A220">
        <v>196</v>
      </c>
      <c r="B220">
        <v>623876.0648276062</v>
      </c>
      <c r="C220">
        <v>67571.365172393853</v>
      </c>
    </row>
    <row r="221" spans="1:3">
      <c r="A221">
        <v>197</v>
      </c>
      <c r="B221">
        <v>602282.08654049085</v>
      </c>
      <c r="C221">
        <v>-28215.476540490869</v>
      </c>
    </row>
    <row r="222" spans="1:3">
      <c r="A222">
        <v>198</v>
      </c>
      <c r="B222">
        <v>625377.63285419368</v>
      </c>
      <c r="C222">
        <v>-46427.792854193714</v>
      </c>
    </row>
    <row r="223" spans="1:3">
      <c r="A223">
        <v>199</v>
      </c>
      <c r="B223">
        <v>645505.79473440221</v>
      </c>
      <c r="C223">
        <v>90280.845265597804</v>
      </c>
    </row>
    <row r="224" spans="1:3">
      <c r="A224">
        <v>200</v>
      </c>
      <c r="B224">
        <v>659091.41021305101</v>
      </c>
      <c r="C224">
        <v>-60186.510213050991</v>
      </c>
    </row>
    <row r="225" spans="1:3">
      <c r="A225">
        <v>201</v>
      </c>
      <c r="B225">
        <v>674607.61315445509</v>
      </c>
      <c r="C225">
        <v>113107.89684554492</v>
      </c>
    </row>
    <row r="226" spans="1:3">
      <c r="A226">
        <v>202</v>
      </c>
      <c r="B226">
        <v>692733.68433254701</v>
      </c>
      <c r="C226">
        <v>-85648.764332546969</v>
      </c>
    </row>
    <row r="227" spans="1:3">
      <c r="A227">
        <v>203</v>
      </c>
      <c r="B227">
        <v>661236.50739389029</v>
      </c>
      <c r="C227">
        <v>-10441.017393890303</v>
      </c>
    </row>
    <row r="228" spans="1:3">
      <c r="A228">
        <v>204</v>
      </c>
      <c r="B228">
        <v>784972.86310863588</v>
      </c>
      <c r="C228">
        <v>40087.656891364139</v>
      </c>
    </row>
    <row r="229" spans="1:3">
      <c r="A229">
        <v>205</v>
      </c>
      <c r="B229">
        <v>727734.51999990782</v>
      </c>
      <c r="C229">
        <v>67729.950000092154</v>
      </c>
    </row>
    <row r="230" spans="1:3">
      <c r="A230">
        <v>206</v>
      </c>
      <c r="B230">
        <v>778072.80051026959</v>
      </c>
      <c r="C230">
        <v>-106204.21051026962</v>
      </c>
    </row>
    <row r="231" spans="1:3">
      <c r="A231">
        <v>207</v>
      </c>
      <c r="B231">
        <v>743036.213223228</v>
      </c>
      <c r="C231">
        <v>-67118.583223227994</v>
      </c>
    </row>
    <row r="232" spans="1:3">
      <c r="A232">
        <v>208</v>
      </c>
      <c r="B232">
        <v>808175.6642813806</v>
      </c>
      <c r="C232">
        <v>2270.8657186194323</v>
      </c>
    </row>
    <row r="233" spans="1:3">
      <c r="A233">
        <v>209</v>
      </c>
      <c r="B233">
        <v>784329.33395438408</v>
      </c>
      <c r="C233">
        <v>-93041.143954384141</v>
      </c>
    </row>
    <row r="234" spans="1:3">
      <c r="A234">
        <v>210</v>
      </c>
      <c r="B234">
        <v>906313.86030477751</v>
      </c>
      <c r="C234">
        <v>40519.679695222527</v>
      </c>
    </row>
    <row r="235" spans="1:3">
      <c r="A235">
        <v>211</v>
      </c>
      <c r="B235">
        <v>794840.31014049659</v>
      </c>
      <c r="C235">
        <v>-32877.080140496604</v>
      </c>
    </row>
    <row r="236" spans="1:3">
      <c r="A236">
        <v>212</v>
      </c>
      <c r="B236">
        <v>786009.66007937491</v>
      </c>
      <c r="C236">
        <v>26142.939920625067</v>
      </c>
    </row>
    <row r="237" spans="1:3">
      <c r="A237">
        <v>213</v>
      </c>
      <c r="B237">
        <v>782684.75944907393</v>
      </c>
      <c r="C237">
        <v>22290.740550926072</v>
      </c>
    </row>
    <row r="238" spans="1:3">
      <c r="A238">
        <v>214</v>
      </c>
      <c r="B238">
        <v>790979.13521498581</v>
      </c>
      <c r="C238">
        <v>-38657.415214985842</v>
      </c>
    </row>
    <row r="239" spans="1:3">
      <c r="A239">
        <v>215</v>
      </c>
      <c r="B239">
        <v>847466.69431042008</v>
      </c>
      <c r="C239">
        <v>-10558.454310420086</v>
      </c>
    </row>
    <row r="240" spans="1:3">
      <c r="A240">
        <v>216</v>
      </c>
      <c r="B240">
        <v>639034.75157220382</v>
      </c>
      <c r="C240">
        <v>35254.348427796154</v>
      </c>
    </row>
    <row r="241" spans="1:3">
      <c r="A241">
        <v>217</v>
      </c>
      <c r="B241">
        <v>625449.13609355502</v>
      </c>
      <c r="C241">
        <v>-2556.7160935549764</v>
      </c>
    </row>
    <row r="242" spans="1:3">
      <c r="A242">
        <v>218</v>
      </c>
      <c r="B242">
        <v>605893.00012823695</v>
      </c>
      <c r="C242">
        <v>67455.559871763107</v>
      </c>
    </row>
    <row r="243" spans="1:3">
      <c r="A243">
        <v>219</v>
      </c>
      <c r="B243">
        <v>613436.59188085503</v>
      </c>
      <c r="C243">
        <v>-7158.2918808549875</v>
      </c>
    </row>
    <row r="244" spans="1:3">
      <c r="A244">
        <v>220</v>
      </c>
      <c r="B244">
        <v>706855.57410640549</v>
      </c>
      <c r="C244">
        <v>5364.2358935945667</v>
      </c>
    </row>
    <row r="245" spans="1:3">
      <c r="A245">
        <v>221</v>
      </c>
      <c r="B245">
        <v>710895.50713031949</v>
      </c>
      <c r="C245">
        <v>-38224.967130319448</v>
      </c>
    </row>
    <row r="246" spans="1:3">
      <c r="A246">
        <v>222</v>
      </c>
      <c r="B246">
        <v>727913.27809831104</v>
      </c>
      <c r="C246">
        <v>4754.6419016889995</v>
      </c>
    </row>
    <row r="247" spans="1:3">
      <c r="A247">
        <v>223</v>
      </c>
      <c r="B247">
        <v>759839.47447313566</v>
      </c>
      <c r="C247">
        <v>-36308.074473135639</v>
      </c>
    </row>
    <row r="248" spans="1:3">
      <c r="A248">
        <v>224</v>
      </c>
      <c r="B248">
        <v>614687.89856967796</v>
      </c>
      <c r="C248">
        <v>26876.70143032202</v>
      </c>
    </row>
    <row r="249" spans="1:3">
      <c r="A249">
        <v>225</v>
      </c>
      <c r="B249">
        <v>547796.6181471732</v>
      </c>
      <c r="C249">
        <v>-11251.128147173207</v>
      </c>
    </row>
    <row r="250" spans="1:3">
      <c r="A250">
        <v>226</v>
      </c>
      <c r="B250">
        <v>584620.7864182475</v>
      </c>
      <c r="C250">
        <v>-56939.226418247446</v>
      </c>
    </row>
    <row r="251" spans="1:3">
      <c r="A251">
        <v>227</v>
      </c>
      <c r="B251">
        <v>495348.99207565293</v>
      </c>
      <c r="C251">
        <v>34249.947924347012</v>
      </c>
    </row>
    <row r="252" spans="1:3">
      <c r="A252">
        <v>228</v>
      </c>
      <c r="B252">
        <v>659162.91345241235</v>
      </c>
      <c r="C252">
        <v>-88199.603452412295</v>
      </c>
    </row>
    <row r="253" spans="1:3">
      <c r="A253">
        <v>229</v>
      </c>
      <c r="B253">
        <v>766560.77897309873</v>
      </c>
      <c r="C253">
        <v>104376.6210269013</v>
      </c>
    </row>
    <row r="254" spans="1:3">
      <c r="A254">
        <v>230</v>
      </c>
      <c r="B254">
        <v>680184.86582463724</v>
      </c>
      <c r="C254">
        <v>-83215.595824637217</v>
      </c>
    </row>
    <row r="255" spans="1:3">
      <c r="A255">
        <v>231</v>
      </c>
      <c r="B255">
        <v>641287.10361208499</v>
      </c>
      <c r="C255">
        <v>6225.7463879149873</v>
      </c>
    </row>
    <row r="256" spans="1:3">
      <c r="A256">
        <v>232</v>
      </c>
      <c r="B256">
        <v>598635.42133306409</v>
      </c>
      <c r="C256">
        <v>59436.718666935922</v>
      </c>
    </row>
    <row r="257" spans="1:3">
      <c r="A257">
        <v>233</v>
      </c>
      <c r="B257">
        <v>636424.88333551597</v>
      </c>
      <c r="C257">
        <v>86880.226664484013</v>
      </c>
    </row>
    <row r="258" spans="1:3">
      <c r="A258">
        <v>234</v>
      </c>
      <c r="B258">
        <v>642073.63924505934</v>
      </c>
      <c r="C258">
        <v>-1407.1092450593133</v>
      </c>
    </row>
    <row r="259" spans="1:3">
      <c r="A259">
        <v>235</v>
      </c>
      <c r="B259">
        <v>666742.2568247111</v>
      </c>
      <c r="C259">
        <v>3887.2231752888765</v>
      </c>
    </row>
    <row r="260" spans="1:3">
      <c r="A260">
        <v>236</v>
      </c>
      <c r="B260">
        <v>800417.56281067862</v>
      </c>
      <c r="C260">
        <v>-79338.21281067864</v>
      </c>
    </row>
    <row r="261" spans="1:3">
      <c r="A261">
        <v>237</v>
      </c>
      <c r="B261">
        <v>803563.70534257626</v>
      </c>
      <c r="C261">
        <v>6791.3146574237617</v>
      </c>
    </row>
    <row r="262" spans="1:3">
      <c r="A262">
        <v>238</v>
      </c>
      <c r="B262">
        <v>793052.72915646376</v>
      </c>
      <c r="C262">
        <v>-31133.479156463756</v>
      </c>
    </row>
    <row r="263" spans="1:3">
      <c r="A263">
        <v>239</v>
      </c>
      <c r="B263">
        <v>779181.10072036972</v>
      </c>
      <c r="C263">
        <v>-42110.920720369671</v>
      </c>
    </row>
    <row r="264" spans="1:3">
      <c r="A264">
        <v>240</v>
      </c>
      <c r="B264">
        <v>734169.81154242565</v>
      </c>
      <c r="C264">
        <v>42823.118457574397</v>
      </c>
    </row>
    <row r="265" spans="1:3">
      <c r="A265">
        <v>241</v>
      </c>
      <c r="B265">
        <v>648115.66297109006</v>
      </c>
      <c r="C265">
        <v>28221.747028909973</v>
      </c>
    </row>
    <row r="266" spans="1:3">
      <c r="A266">
        <v>242</v>
      </c>
      <c r="B266">
        <v>806423.83491702867</v>
      </c>
      <c r="C266">
        <v>21795.835082971375</v>
      </c>
    </row>
    <row r="267" spans="1:3">
      <c r="A267">
        <v>243</v>
      </c>
      <c r="B267">
        <v>732346.47893871227</v>
      </c>
      <c r="C267">
        <v>30813.441061287769</v>
      </c>
    </row>
    <row r="268" spans="1:3">
      <c r="A268">
        <v>244</v>
      </c>
      <c r="B268">
        <v>765595.48524172103</v>
      </c>
      <c r="C268">
        <v>36406.194758279016</v>
      </c>
    </row>
    <row r="269" spans="1:3">
      <c r="A269">
        <v>245</v>
      </c>
      <c r="B269">
        <v>758409.40968590952</v>
      </c>
      <c r="C269">
        <v>-7938.0696859095478</v>
      </c>
    </row>
    <row r="270" spans="1:3">
      <c r="A270">
        <v>246</v>
      </c>
      <c r="B270">
        <v>709822.9585398999</v>
      </c>
      <c r="C270">
        <v>-30592.098539899918</v>
      </c>
    </row>
    <row r="271" spans="1:3">
      <c r="A271">
        <v>247</v>
      </c>
      <c r="B271">
        <v>736457.91520198761</v>
      </c>
      <c r="C271">
        <v>-56569.175201987615</v>
      </c>
    </row>
    <row r="272" spans="1:3">
      <c r="A272">
        <v>248</v>
      </c>
      <c r="B272">
        <v>584728.04127728939</v>
      </c>
      <c r="C272">
        <v>22055.628722710651</v>
      </c>
    </row>
    <row r="273" spans="1:3">
      <c r="A273">
        <v>249</v>
      </c>
      <c r="B273">
        <v>652298.60247372661</v>
      </c>
      <c r="C273">
        <v>-9547.1824737265706</v>
      </c>
    </row>
    <row r="274" spans="1:3">
      <c r="A274">
        <v>250</v>
      </c>
      <c r="B274">
        <v>672212.25463585125</v>
      </c>
      <c r="C274">
        <v>-24258.47463585122</v>
      </c>
    </row>
    <row r="275" spans="1:3">
      <c r="A275">
        <v>251</v>
      </c>
      <c r="B275">
        <v>690731.59363043029</v>
      </c>
      <c r="C275">
        <v>38708.856369569665</v>
      </c>
    </row>
    <row r="276" spans="1:3">
      <c r="A276">
        <v>252</v>
      </c>
      <c r="B276">
        <v>688657.99968895235</v>
      </c>
      <c r="C276">
        <v>76291.000311047654</v>
      </c>
    </row>
    <row r="277" spans="1:3">
      <c r="A277">
        <v>253</v>
      </c>
      <c r="B277">
        <v>691303.61954532075</v>
      </c>
      <c r="C277">
        <v>107743.3204546792</v>
      </c>
    </row>
    <row r="278" spans="1:3">
      <c r="A278">
        <v>254</v>
      </c>
      <c r="B278">
        <v>647865.4016333255</v>
      </c>
      <c r="C278">
        <v>72214.138366674539</v>
      </c>
    </row>
    <row r="279" spans="1:3">
      <c r="A279">
        <v>255</v>
      </c>
      <c r="B279">
        <v>653085.13810670096</v>
      </c>
      <c r="C279">
        <v>-40694.99810670095</v>
      </c>
    </row>
    <row r="280" spans="1:3">
      <c r="A280">
        <v>256</v>
      </c>
      <c r="B280">
        <v>738102.48970729765</v>
      </c>
      <c r="C280">
        <v>102005.63029270235</v>
      </c>
    </row>
    <row r="281" spans="1:3">
      <c r="A281">
        <v>257</v>
      </c>
      <c r="B281">
        <v>716973.28247603076</v>
      </c>
      <c r="C281">
        <v>-19085.192476030788</v>
      </c>
    </row>
    <row r="282" spans="1:3">
      <c r="A282">
        <v>258</v>
      </c>
      <c r="B282">
        <v>754869.99933752464</v>
      </c>
      <c r="C282">
        <v>-8754.4093375246739</v>
      </c>
    </row>
    <row r="283" spans="1:3">
      <c r="A283">
        <v>259</v>
      </c>
      <c r="B283">
        <v>726340.20683236234</v>
      </c>
      <c r="C283">
        <v>49770.11316763761</v>
      </c>
    </row>
    <row r="284" spans="1:3">
      <c r="A284">
        <v>260</v>
      </c>
      <c r="B284">
        <v>555125.70018170739</v>
      </c>
      <c r="C284">
        <v>-26273.080181707395</v>
      </c>
    </row>
    <row r="285" spans="1:3">
      <c r="A285">
        <v>261</v>
      </c>
      <c r="B285">
        <v>617190.5119473238</v>
      </c>
      <c r="C285">
        <v>-11439.181947323843</v>
      </c>
    </row>
    <row r="286" spans="1:3">
      <c r="A286">
        <v>262</v>
      </c>
      <c r="B286">
        <v>621444.95468932169</v>
      </c>
      <c r="C286">
        <v>56195.695310678333</v>
      </c>
    </row>
    <row r="287" spans="1:3">
      <c r="A287">
        <v>263</v>
      </c>
      <c r="B287">
        <v>589983.52937034564</v>
      </c>
      <c r="C287">
        <v>46629.70062965434</v>
      </c>
    </row>
    <row r="288" spans="1:3">
      <c r="A288">
        <v>264</v>
      </c>
      <c r="B288">
        <v>708035.37755586719</v>
      </c>
      <c r="C288">
        <v>949.81244413275272</v>
      </c>
    </row>
    <row r="289" spans="1:3">
      <c r="A289">
        <v>265</v>
      </c>
      <c r="B289">
        <v>736815.43139879405</v>
      </c>
      <c r="C289">
        <v>30977.508601205889</v>
      </c>
    </row>
    <row r="290" spans="1:3">
      <c r="A290">
        <v>266</v>
      </c>
      <c r="B290">
        <v>731095.17224988935</v>
      </c>
      <c r="C290">
        <v>14485.337750110659</v>
      </c>
    </row>
    <row r="291" spans="1:3">
      <c r="A291">
        <v>267</v>
      </c>
      <c r="B291">
        <v>705032.24150269222</v>
      </c>
      <c r="C291">
        <v>57296.068497307831</v>
      </c>
    </row>
    <row r="292" spans="1:3">
      <c r="A292">
        <v>268</v>
      </c>
      <c r="B292">
        <v>734062.55668338365</v>
      </c>
      <c r="C292">
        <v>-73428.566683383659</v>
      </c>
    </row>
    <row r="293" spans="1:3">
      <c r="A293">
        <v>269</v>
      </c>
      <c r="B293">
        <v>732847.0016142414</v>
      </c>
      <c r="C293">
        <v>6527.5583857586607</v>
      </c>
    </row>
    <row r="294" spans="1:3">
      <c r="A294">
        <v>270</v>
      </c>
      <c r="B294">
        <v>810571.02279998455</v>
      </c>
      <c r="C294">
        <v>-10814.562799984589</v>
      </c>
    </row>
    <row r="295" spans="1:3">
      <c r="A295">
        <v>271</v>
      </c>
      <c r="B295">
        <v>712397.07515690709</v>
      </c>
      <c r="C295">
        <v>-119054.07515690709</v>
      </c>
    </row>
    <row r="296" spans="1:3">
      <c r="A296">
        <v>272</v>
      </c>
      <c r="B296">
        <v>649581.47937799687</v>
      </c>
      <c r="C296">
        <v>-4541.5093779969029</v>
      </c>
    </row>
    <row r="297" spans="1:3">
      <c r="A297">
        <v>273</v>
      </c>
      <c r="B297">
        <v>565100.4020726101</v>
      </c>
      <c r="C297">
        <v>-3503.0720726101426</v>
      </c>
    </row>
    <row r="298" spans="1:3">
      <c r="A298">
        <v>274</v>
      </c>
      <c r="B298">
        <v>652370.10571308795</v>
      </c>
      <c r="C298">
        <v>-16532.365713087958</v>
      </c>
    </row>
    <row r="299" spans="1:3">
      <c r="A299">
        <v>275</v>
      </c>
      <c r="B299">
        <v>656874.8097928504</v>
      </c>
      <c r="C299">
        <v>29863.060207149596</v>
      </c>
    </row>
    <row r="300" spans="1:3">
      <c r="A300">
        <v>276</v>
      </c>
      <c r="B300">
        <v>752367.3859598788</v>
      </c>
      <c r="C300">
        <v>-79291.045959878829</v>
      </c>
    </row>
    <row r="301" spans="1:3">
      <c r="A301">
        <v>277</v>
      </c>
      <c r="B301">
        <v>732239.22407967038</v>
      </c>
      <c r="C301">
        <v>6309.1959203296574</v>
      </c>
    </row>
    <row r="302" spans="1:3">
      <c r="A302">
        <v>278</v>
      </c>
      <c r="B302">
        <v>779538.6169171764</v>
      </c>
      <c r="C302">
        <v>-22918.846917176386</v>
      </c>
    </row>
    <row r="303" spans="1:3">
      <c r="A303">
        <v>279</v>
      </c>
      <c r="B303">
        <v>771852.01868583565</v>
      </c>
      <c r="C303">
        <v>-10729.598685835605</v>
      </c>
    </row>
    <row r="304" spans="1:3">
      <c r="A304">
        <v>280</v>
      </c>
      <c r="B304">
        <v>589983.52937034564</v>
      </c>
      <c r="C304">
        <v>-65083.959370345692</v>
      </c>
    </row>
    <row r="305" spans="1:3">
      <c r="A305">
        <v>281</v>
      </c>
      <c r="B305">
        <v>601888.81872400362</v>
      </c>
      <c r="C305">
        <v>-46331.048724003602</v>
      </c>
    </row>
    <row r="306" spans="1:3">
      <c r="A306">
        <v>282</v>
      </c>
      <c r="B306">
        <v>651583.5700801136</v>
      </c>
      <c r="C306">
        <v>62500.109919886454</v>
      </c>
    </row>
    <row r="307" spans="1:3">
      <c r="A307">
        <v>283</v>
      </c>
      <c r="B307">
        <v>554410.66778809438</v>
      </c>
      <c r="C307">
        <v>-56970.847788094368</v>
      </c>
    </row>
    <row r="308" spans="1:3">
      <c r="A308">
        <v>284</v>
      </c>
      <c r="B308">
        <v>645041.02367855376</v>
      </c>
      <c r="C308">
        <v>-8265.3636785537237</v>
      </c>
    </row>
    <row r="309" spans="1:3">
      <c r="A309">
        <v>285</v>
      </c>
      <c r="B309">
        <v>606608.03252185008</v>
      </c>
      <c r="C309">
        <v>26401.497478149948</v>
      </c>
    </row>
    <row r="310" spans="1:3">
      <c r="A310">
        <v>286</v>
      </c>
      <c r="B310">
        <v>594988.75612563733</v>
      </c>
      <c r="C310">
        <v>14960.24387436267</v>
      </c>
    </row>
    <row r="311" spans="1:3">
      <c r="A311">
        <v>287</v>
      </c>
      <c r="B311">
        <v>592557.64598735282</v>
      </c>
      <c r="C311">
        <v>-44453.945987352869</v>
      </c>
    </row>
    <row r="312" spans="1:3">
      <c r="A312">
        <v>288</v>
      </c>
      <c r="B312">
        <v>749507.2563854265</v>
      </c>
      <c r="C312">
        <v>-20082.836385426461</v>
      </c>
    </row>
    <row r="313" spans="1:3">
      <c r="A313">
        <v>289</v>
      </c>
      <c r="B313">
        <v>724838.63880577474</v>
      </c>
      <c r="C313">
        <v>-28577.148805774748</v>
      </c>
    </row>
    <row r="314" spans="1:3">
      <c r="A314">
        <v>290</v>
      </c>
      <c r="B314">
        <v>742928.95836418611</v>
      </c>
      <c r="C314">
        <v>70387.751635813853</v>
      </c>
    </row>
    <row r="315" spans="1:3">
      <c r="A315">
        <v>291</v>
      </c>
      <c r="B315">
        <v>699419.23721282941</v>
      </c>
      <c r="C315">
        <v>2649.6827871706337</v>
      </c>
    </row>
    <row r="316" spans="1:3">
      <c r="A316">
        <v>292</v>
      </c>
      <c r="B316">
        <v>583262.22487038258</v>
      </c>
      <c r="C316">
        <v>-37038.524870382622</v>
      </c>
    </row>
    <row r="317" spans="1:3">
      <c r="A317">
        <v>293</v>
      </c>
      <c r="B317">
        <v>530492.83422173641</v>
      </c>
      <c r="C317">
        <v>2628.4257782635977</v>
      </c>
    </row>
    <row r="318" spans="1:3">
      <c r="A318">
        <v>294</v>
      </c>
      <c r="B318">
        <v>490200.75884163869</v>
      </c>
      <c r="C318">
        <v>8769.5611583613208</v>
      </c>
    </row>
    <row r="319" spans="1:3">
      <c r="A319">
        <v>295</v>
      </c>
      <c r="B319">
        <v>507790.55572452076</v>
      </c>
      <c r="C319">
        <v>-20052.295724520751</v>
      </c>
    </row>
    <row r="320" spans="1:3">
      <c r="A320">
        <v>296</v>
      </c>
      <c r="B320">
        <v>656982.0646518924</v>
      </c>
      <c r="C320">
        <v>11477.305348107591</v>
      </c>
    </row>
    <row r="321" spans="1:3">
      <c r="A321">
        <v>297</v>
      </c>
      <c r="B321">
        <v>657232.32598965697</v>
      </c>
      <c r="C321">
        <v>105930.12401034299</v>
      </c>
    </row>
    <row r="322" spans="1:3">
      <c r="A322">
        <v>298</v>
      </c>
      <c r="B322">
        <v>621301.94821059913</v>
      </c>
      <c r="C322">
        <v>-22284.618210599176</v>
      </c>
    </row>
    <row r="323" spans="1:3">
      <c r="A323">
        <v>299</v>
      </c>
      <c r="B323">
        <v>498459.3829878699</v>
      </c>
      <c r="C323">
        <v>-96876.802987869887</v>
      </c>
    </row>
    <row r="324" spans="1:3">
      <c r="A324">
        <v>300</v>
      </c>
      <c r="B324">
        <v>741212.88061951462</v>
      </c>
      <c r="C324">
        <v>-37399.890619514626</v>
      </c>
    </row>
    <row r="325" spans="1:3">
      <c r="A325">
        <v>301</v>
      </c>
      <c r="B325">
        <v>731810.20464350248</v>
      </c>
      <c r="C325">
        <v>-7463.4746435025008</v>
      </c>
    </row>
    <row r="326" spans="1:3">
      <c r="A326">
        <v>302</v>
      </c>
      <c r="B326">
        <v>741784.90653440508</v>
      </c>
      <c r="C326">
        <v>-10894.896534405067</v>
      </c>
    </row>
    <row r="327" spans="1:3">
      <c r="A327">
        <v>303</v>
      </c>
      <c r="B327">
        <v>738746.01886154944</v>
      </c>
      <c r="C327">
        <v>41834.931138450513</v>
      </c>
    </row>
    <row r="328" spans="1:3">
      <c r="A328">
        <v>304</v>
      </c>
      <c r="B328">
        <v>679791.59800815</v>
      </c>
      <c r="C328">
        <v>48165.881991849979</v>
      </c>
    </row>
    <row r="329" spans="1:3">
      <c r="A329">
        <v>305</v>
      </c>
      <c r="B329">
        <v>653692.91564127221</v>
      </c>
      <c r="C329">
        <v>-115316.91564127221</v>
      </c>
    </row>
    <row r="330" spans="1:3">
      <c r="A330">
        <v>306</v>
      </c>
      <c r="B330">
        <v>671461.47062255745</v>
      </c>
      <c r="C330">
        <v>-6118.9806225574575</v>
      </c>
    </row>
    <row r="331" spans="1:3">
      <c r="A331">
        <v>307</v>
      </c>
      <c r="B331">
        <v>674965.12935126165</v>
      </c>
      <c r="C331">
        <v>-23800.949351261603</v>
      </c>
    </row>
    <row r="332" spans="1:3">
      <c r="A332">
        <v>308</v>
      </c>
      <c r="B332">
        <v>652084.09275564272</v>
      </c>
      <c r="C332">
        <v>-23545.792755642673</v>
      </c>
    </row>
    <row r="333" spans="1:3">
      <c r="A333">
        <v>309</v>
      </c>
      <c r="B333">
        <v>635137.82502701238</v>
      </c>
      <c r="C333">
        <v>-98612.985027012415</v>
      </c>
    </row>
    <row r="334" spans="1:3">
      <c r="A334">
        <v>310</v>
      </c>
      <c r="B334">
        <v>640464.81635942997</v>
      </c>
      <c r="C334">
        <v>-18787.516359429923</v>
      </c>
    </row>
    <row r="335" spans="1:3">
      <c r="A335">
        <v>311</v>
      </c>
      <c r="B335">
        <v>713576.87860636855</v>
      </c>
      <c r="C335">
        <v>57552.191393631394</v>
      </c>
    </row>
    <row r="336" spans="1:3">
      <c r="A336">
        <v>312</v>
      </c>
      <c r="B336">
        <v>666563.49872630788</v>
      </c>
      <c r="C336">
        <v>35488.971273692092</v>
      </c>
    </row>
    <row r="337" spans="1:3">
      <c r="A337">
        <v>313</v>
      </c>
      <c r="B337">
        <v>731238.17872861191</v>
      </c>
      <c r="C337">
        <v>-42869.718728611944</v>
      </c>
    </row>
    <row r="338" spans="1:3">
      <c r="A338">
        <v>314</v>
      </c>
      <c r="B338">
        <v>660700.23309868039</v>
      </c>
      <c r="C338">
        <v>51675.536901319632</v>
      </c>
    </row>
    <row r="339" spans="1:3">
      <c r="A339">
        <v>315</v>
      </c>
      <c r="B339">
        <v>802526.90837183723</v>
      </c>
      <c r="C339">
        <v>42183.761628162814</v>
      </c>
    </row>
    <row r="340" spans="1:3">
      <c r="A340">
        <v>316</v>
      </c>
      <c r="B340">
        <v>647793.89839396416</v>
      </c>
      <c r="C340">
        <v>-27529.698393964209</v>
      </c>
    </row>
    <row r="341" spans="1:3">
      <c r="A341">
        <v>317</v>
      </c>
      <c r="B341">
        <v>570105.62882790167</v>
      </c>
      <c r="C341">
        <v>-33260.208827901632</v>
      </c>
    </row>
    <row r="342" spans="1:3">
      <c r="A342">
        <v>318</v>
      </c>
      <c r="B342">
        <v>724159.35803184239</v>
      </c>
      <c r="C342">
        <v>2616.8619681575801</v>
      </c>
    </row>
    <row r="343" spans="1:3" ht="15" thickBot="1">
      <c r="A343" s="10">
        <v>319</v>
      </c>
      <c r="B343" s="10">
        <v>636281.87685679342</v>
      </c>
      <c r="C343" s="10">
        <v>-76621.036856793449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D351-679B-4F40-937C-0DE1070C8D26}">
  <dimension ref="A1:T321"/>
  <sheetViews>
    <sheetView topLeftCell="A98" zoomScale="76" workbookViewId="0">
      <selection activeCell="L1" sqref="L1:L321"/>
    </sheetView>
  </sheetViews>
  <sheetFormatPr defaultRowHeight="14.5"/>
  <cols>
    <col min="1" max="1" width="10.90625" customWidth="1"/>
    <col min="2" max="2" width="9.453125" customWidth="1"/>
    <col min="3" max="3" width="10.6328125" customWidth="1"/>
    <col min="4" max="4" width="12.81640625" customWidth="1"/>
    <col min="5" max="5" width="10.7265625" customWidth="1"/>
    <col min="6" max="6" width="9.81640625" customWidth="1"/>
    <col min="7" max="7" width="15.90625" customWidth="1"/>
    <col min="8" max="8" width="12.453125" customWidth="1"/>
    <col min="9" max="9" width="11.81640625" customWidth="1"/>
    <col min="10" max="10" width="11.6328125" customWidth="1"/>
    <col min="12" max="12" width="10.453125" customWidth="1"/>
    <col min="13" max="13" width="9.36328125" customWidth="1"/>
    <col min="14" max="14" width="9.54296875" customWidth="1"/>
    <col min="15" max="15" width="7" customWidth="1"/>
    <col min="16" max="16" width="6.54296875" customWidth="1"/>
    <col min="17" max="17" width="7.6328125" customWidth="1"/>
    <col min="19" max="19" width="6.36328125" customWidth="1"/>
    <col min="20" max="20" width="7.6328125" customWidth="1"/>
  </cols>
  <sheetData>
    <row r="1" spans="1:20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 s="5">
        <f>IF($C2="North",1,0)</f>
        <v>0</v>
      </c>
      <c r="P2" s="5">
        <f>IF($C2="South",1,0)</f>
        <v>0</v>
      </c>
      <c r="Q2">
        <f>IF($C2="West",1,0)</f>
        <v>0</v>
      </c>
      <c r="R2">
        <f>IF($D2="Airport",1,0)</f>
        <v>0</v>
      </c>
      <c r="S2">
        <f>IF($D2="High Street",1,0)</f>
        <v>0</v>
      </c>
      <c r="T2">
        <f>IF($D2="Mall",1,0)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 s="5">
        <f>IF($C3="North",1,0)</f>
        <v>0</v>
      </c>
      <c r="P3" s="5">
        <f t="shared" ref="P3:P18" si="0">IF($C3="South",1,0)</f>
        <v>0</v>
      </c>
      <c r="Q3">
        <f t="shared" ref="Q3:Q66" si="1">IF($C3="West",1,0)</f>
        <v>0</v>
      </c>
      <c r="R3">
        <f t="shared" ref="R3:R66" si="2">IF($D3="Airport",1,0)</f>
        <v>0</v>
      </c>
      <c r="S3">
        <f t="shared" ref="S3:S66" si="3">IF($D3="High Street",1,0)</f>
        <v>0</v>
      </c>
      <c r="T3">
        <f t="shared" ref="T3:T66" si="4">IF($D3="Mall",1,0)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 s="5">
        <f t="shared" ref="O4:O66" si="5">IF($C4="North",1,0)</f>
        <v>0</v>
      </c>
      <c r="P4" s="5">
        <f t="shared" si="0"/>
        <v>0</v>
      </c>
      <c r="Q4">
        <f t="shared" si="1"/>
        <v>0</v>
      </c>
      <c r="R4">
        <f t="shared" si="2"/>
        <v>0</v>
      </c>
      <c r="S4">
        <f t="shared" si="3"/>
        <v>0</v>
      </c>
      <c r="T4">
        <f t="shared" si="4"/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 s="5">
        <f t="shared" si="5"/>
        <v>0</v>
      </c>
      <c r="P5" s="5">
        <f t="shared" si="0"/>
        <v>0</v>
      </c>
      <c r="Q5">
        <f t="shared" si="1"/>
        <v>0</v>
      </c>
      <c r="R5">
        <f t="shared" si="2"/>
        <v>0</v>
      </c>
      <c r="S5">
        <f t="shared" si="3"/>
        <v>0</v>
      </c>
      <c r="T5">
        <f t="shared" si="4"/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 s="5">
        <f t="shared" si="5"/>
        <v>0</v>
      </c>
      <c r="P6" s="5">
        <f t="shared" si="0"/>
        <v>0</v>
      </c>
      <c r="Q6">
        <f t="shared" si="1"/>
        <v>0</v>
      </c>
      <c r="R6">
        <f t="shared" si="2"/>
        <v>0</v>
      </c>
      <c r="S6">
        <f t="shared" si="3"/>
        <v>1</v>
      </c>
      <c r="T6">
        <f t="shared" si="4"/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 s="5">
        <f t="shared" si="5"/>
        <v>0</v>
      </c>
      <c r="P7" s="5">
        <f t="shared" si="0"/>
        <v>0</v>
      </c>
      <c r="Q7">
        <f t="shared" si="1"/>
        <v>0</v>
      </c>
      <c r="R7">
        <f t="shared" si="2"/>
        <v>0</v>
      </c>
      <c r="S7">
        <f t="shared" si="3"/>
        <v>1</v>
      </c>
      <c r="T7">
        <f t="shared" si="4"/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 s="5">
        <f t="shared" si="5"/>
        <v>0</v>
      </c>
      <c r="P8" s="5">
        <f t="shared" si="0"/>
        <v>0</v>
      </c>
      <c r="Q8">
        <f t="shared" si="1"/>
        <v>0</v>
      </c>
      <c r="R8">
        <f t="shared" si="2"/>
        <v>0</v>
      </c>
      <c r="S8">
        <f t="shared" si="3"/>
        <v>1</v>
      </c>
      <c r="T8">
        <f t="shared" si="4"/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 s="5">
        <f t="shared" si="5"/>
        <v>0</v>
      </c>
      <c r="P9" s="5">
        <f t="shared" si="0"/>
        <v>0</v>
      </c>
      <c r="Q9">
        <f t="shared" si="1"/>
        <v>0</v>
      </c>
      <c r="R9">
        <f t="shared" si="2"/>
        <v>0</v>
      </c>
      <c r="S9">
        <f t="shared" si="3"/>
        <v>1</v>
      </c>
      <c r="T9">
        <f t="shared" si="4"/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 s="5">
        <f t="shared" si="5"/>
        <v>1</v>
      </c>
      <c r="P10" s="5">
        <f t="shared" si="0"/>
        <v>0</v>
      </c>
      <c r="Q10">
        <f t="shared" si="1"/>
        <v>0</v>
      </c>
      <c r="R10">
        <f t="shared" si="2"/>
        <v>1</v>
      </c>
      <c r="S10">
        <f t="shared" si="3"/>
        <v>0</v>
      </c>
      <c r="T10">
        <f t="shared" si="4"/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 s="5">
        <f t="shared" si="5"/>
        <v>1</v>
      </c>
      <c r="P11" s="5">
        <f t="shared" si="0"/>
        <v>0</v>
      </c>
      <c r="Q11">
        <f t="shared" si="1"/>
        <v>0</v>
      </c>
      <c r="R11">
        <f t="shared" si="2"/>
        <v>1</v>
      </c>
      <c r="S11">
        <f t="shared" si="3"/>
        <v>0</v>
      </c>
      <c r="T11">
        <f t="shared" si="4"/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 s="5">
        <f t="shared" si="5"/>
        <v>1</v>
      </c>
      <c r="P12" s="5">
        <f t="shared" si="0"/>
        <v>0</v>
      </c>
      <c r="Q12">
        <f t="shared" si="1"/>
        <v>0</v>
      </c>
      <c r="R12">
        <f t="shared" si="2"/>
        <v>1</v>
      </c>
      <c r="S12">
        <f t="shared" si="3"/>
        <v>0</v>
      </c>
      <c r="T12">
        <f t="shared" si="4"/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 s="5">
        <f t="shared" si="5"/>
        <v>1</v>
      </c>
      <c r="P13" s="5">
        <f t="shared" si="0"/>
        <v>0</v>
      </c>
      <c r="Q13">
        <f t="shared" si="1"/>
        <v>0</v>
      </c>
      <c r="R13">
        <f t="shared" si="2"/>
        <v>1</v>
      </c>
      <c r="S13">
        <f t="shared" si="3"/>
        <v>0</v>
      </c>
      <c r="T13">
        <f t="shared" si="4"/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 s="5">
        <f t="shared" si="5"/>
        <v>0</v>
      </c>
      <c r="P14" s="5">
        <f t="shared" si="0"/>
        <v>0</v>
      </c>
      <c r="Q14">
        <f t="shared" si="1"/>
        <v>0</v>
      </c>
      <c r="R14">
        <f t="shared" si="2"/>
        <v>0</v>
      </c>
      <c r="S14">
        <f t="shared" si="3"/>
        <v>0</v>
      </c>
      <c r="T14">
        <f t="shared" si="4"/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 s="5">
        <f t="shared" si="5"/>
        <v>0</v>
      </c>
      <c r="P15" s="5">
        <f t="shared" si="0"/>
        <v>0</v>
      </c>
      <c r="Q15">
        <f t="shared" si="1"/>
        <v>0</v>
      </c>
      <c r="R15">
        <f t="shared" si="2"/>
        <v>0</v>
      </c>
      <c r="S15">
        <f t="shared" si="3"/>
        <v>0</v>
      </c>
      <c r="T15">
        <f t="shared" si="4"/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 s="5">
        <f t="shared" si="5"/>
        <v>0</v>
      </c>
      <c r="P16" s="5">
        <f t="shared" si="0"/>
        <v>0</v>
      </c>
      <c r="Q16">
        <f t="shared" si="1"/>
        <v>0</v>
      </c>
      <c r="R16">
        <f t="shared" si="2"/>
        <v>0</v>
      </c>
      <c r="S16">
        <f t="shared" si="3"/>
        <v>0</v>
      </c>
      <c r="T16">
        <f t="shared" si="4"/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 s="5">
        <f t="shared" si="5"/>
        <v>0</v>
      </c>
      <c r="P17" s="5">
        <f t="shared" si="0"/>
        <v>0</v>
      </c>
      <c r="Q17">
        <f t="shared" si="1"/>
        <v>0</v>
      </c>
      <c r="R17">
        <f t="shared" si="2"/>
        <v>0</v>
      </c>
      <c r="S17">
        <f t="shared" si="3"/>
        <v>0</v>
      </c>
      <c r="T17">
        <f t="shared" si="4"/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 s="5">
        <f t="shared" si="5"/>
        <v>0</v>
      </c>
      <c r="P18" s="5">
        <f t="shared" si="0"/>
        <v>1</v>
      </c>
      <c r="Q18">
        <f t="shared" si="1"/>
        <v>0</v>
      </c>
      <c r="R18">
        <f t="shared" si="2"/>
        <v>0</v>
      </c>
      <c r="S18">
        <f t="shared" si="3"/>
        <v>0</v>
      </c>
      <c r="T18">
        <f t="shared" si="4"/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 s="5">
        <f t="shared" si="5"/>
        <v>0</v>
      </c>
      <c r="P19" s="5">
        <f t="shared" ref="P19:P34" si="6">IF($C19="South",1,0)</f>
        <v>1</v>
      </c>
      <c r="Q19">
        <f t="shared" si="1"/>
        <v>0</v>
      </c>
      <c r="R19">
        <f t="shared" si="2"/>
        <v>0</v>
      </c>
      <c r="S19">
        <f t="shared" si="3"/>
        <v>0</v>
      </c>
      <c r="T19">
        <f t="shared" si="4"/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 s="5">
        <f t="shared" si="5"/>
        <v>0</v>
      </c>
      <c r="P20" s="5">
        <f t="shared" si="6"/>
        <v>1</v>
      </c>
      <c r="Q20">
        <f t="shared" si="1"/>
        <v>0</v>
      </c>
      <c r="R20">
        <f t="shared" si="2"/>
        <v>0</v>
      </c>
      <c r="S20">
        <f t="shared" si="3"/>
        <v>0</v>
      </c>
      <c r="T20">
        <f t="shared" si="4"/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 s="5">
        <f t="shared" si="5"/>
        <v>0</v>
      </c>
      <c r="P21" s="5">
        <f t="shared" si="6"/>
        <v>1</v>
      </c>
      <c r="Q21">
        <f t="shared" si="1"/>
        <v>0</v>
      </c>
      <c r="R21">
        <f t="shared" si="2"/>
        <v>0</v>
      </c>
      <c r="S21">
        <f t="shared" si="3"/>
        <v>0</v>
      </c>
      <c r="T21">
        <f t="shared" si="4"/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 s="5">
        <f t="shared" si="5"/>
        <v>1</v>
      </c>
      <c r="P22" s="5">
        <f t="shared" si="6"/>
        <v>0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 s="5">
        <f t="shared" si="5"/>
        <v>1</v>
      </c>
      <c r="P23" s="5">
        <f t="shared" si="6"/>
        <v>0</v>
      </c>
      <c r="Q23">
        <f t="shared" si="1"/>
        <v>0</v>
      </c>
      <c r="R23">
        <f t="shared" si="2"/>
        <v>0</v>
      </c>
      <c r="S23">
        <f t="shared" si="3"/>
        <v>0</v>
      </c>
      <c r="T23">
        <f t="shared" si="4"/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 s="5">
        <f t="shared" si="5"/>
        <v>1</v>
      </c>
      <c r="P24" s="5">
        <f t="shared" si="6"/>
        <v>0</v>
      </c>
      <c r="Q24">
        <f t="shared" si="1"/>
        <v>0</v>
      </c>
      <c r="R24">
        <f t="shared" si="2"/>
        <v>0</v>
      </c>
      <c r="S24">
        <f t="shared" si="3"/>
        <v>0</v>
      </c>
      <c r="T24">
        <f t="shared" si="4"/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 s="5">
        <f t="shared" si="5"/>
        <v>1</v>
      </c>
      <c r="P25" s="5">
        <f t="shared" si="6"/>
        <v>0</v>
      </c>
      <c r="Q25">
        <f t="shared" si="1"/>
        <v>0</v>
      </c>
      <c r="R25">
        <f t="shared" si="2"/>
        <v>0</v>
      </c>
      <c r="S25">
        <f t="shared" si="3"/>
        <v>0</v>
      </c>
      <c r="T25">
        <f t="shared" si="4"/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 s="5">
        <f t="shared" si="5"/>
        <v>0</v>
      </c>
      <c r="P26" s="5">
        <f t="shared" si="6"/>
        <v>0</v>
      </c>
      <c r="Q26">
        <f t="shared" si="1"/>
        <v>1</v>
      </c>
      <c r="R26">
        <f t="shared" si="2"/>
        <v>0</v>
      </c>
      <c r="S26">
        <f t="shared" si="3"/>
        <v>0</v>
      </c>
      <c r="T26">
        <f t="shared" si="4"/>
        <v>1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 s="5">
        <f t="shared" si="5"/>
        <v>0</v>
      </c>
      <c r="P27" s="5">
        <f t="shared" si="6"/>
        <v>0</v>
      </c>
      <c r="Q27">
        <f t="shared" si="1"/>
        <v>1</v>
      </c>
      <c r="R27">
        <f t="shared" si="2"/>
        <v>0</v>
      </c>
      <c r="S27">
        <f t="shared" si="3"/>
        <v>0</v>
      </c>
      <c r="T27">
        <f t="shared" si="4"/>
        <v>1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 s="5">
        <f t="shared" si="5"/>
        <v>0</v>
      </c>
      <c r="P28" s="5">
        <f t="shared" si="6"/>
        <v>0</v>
      </c>
      <c r="Q28">
        <f t="shared" si="1"/>
        <v>1</v>
      </c>
      <c r="R28">
        <f t="shared" si="2"/>
        <v>0</v>
      </c>
      <c r="S28">
        <f t="shared" si="3"/>
        <v>0</v>
      </c>
      <c r="T28">
        <f t="shared" si="4"/>
        <v>1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 s="5">
        <f t="shared" si="5"/>
        <v>0</v>
      </c>
      <c r="P29" s="5">
        <f t="shared" si="6"/>
        <v>0</v>
      </c>
      <c r="Q29">
        <f t="shared" si="1"/>
        <v>1</v>
      </c>
      <c r="R29">
        <f t="shared" si="2"/>
        <v>0</v>
      </c>
      <c r="S29">
        <f t="shared" si="3"/>
        <v>0</v>
      </c>
      <c r="T29">
        <f t="shared" si="4"/>
        <v>1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 s="5">
        <f t="shared" si="5"/>
        <v>0</v>
      </c>
      <c r="P30" s="5">
        <f t="shared" si="6"/>
        <v>0</v>
      </c>
      <c r="Q30">
        <f t="shared" si="1"/>
        <v>0</v>
      </c>
      <c r="R30">
        <f t="shared" si="2"/>
        <v>0</v>
      </c>
      <c r="S30">
        <f t="shared" si="3"/>
        <v>0</v>
      </c>
      <c r="T30">
        <f t="shared" si="4"/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 s="5">
        <f t="shared" si="5"/>
        <v>0</v>
      </c>
      <c r="P31" s="5">
        <f t="shared" si="6"/>
        <v>0</v>
      </c>
      <c r="Q31">
        <f t="shared" si="1"/>
        <v>0</v>
      </c>
      <c r="R31">
        <f t="shared" si="2"/>
        <v>0</v>
      </c>
      <c r="S31">
        <f t="shared" si="3"/>
        <v>0</v>
      </c>
      <c r="T31">
        <f t="shared" si="4"/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 s="5">
        <f t="shared" si="5"/>
        <v>0</v>
      </c>
      <c r="P32" s="5">
        <f t="shared" si="6"/>
        <v>0</v>
      </c>
      <c r="Q32">
        <f t="shared" si="1"/>
        <v>0</v>
      </c>
      <c r="R32">
        <f t="shared" si="2"/>
        <v>0</v>
      </c>
      <c r="S32">
        <f t="shared" si="3"/>
        <v>0</v>
      </c>
      <c r="T32">
        <f t="shared" si="4"/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 s="5">
        <f t="shared" si="5"/>
        <v>0</v>
      </c>
      <c r="P33" s="5">
        <f t="shared" si="6"/>
        <v>0</v>
      </c>
      <c r="Q33">
        <f t="shared" si="1"/>
        <v>0</v>
      </c>
      <c r="R33">
        <f t="shared" si="2"/>
        <v>0</v>
      </c>
      <c r="S33">
        <f t="shared" si="3"/>
        <v>0</v>
      </c>
      <c r="T33">
        <f t="shared" si="4"/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 s="5">
        <f t="shared" si="5"/>
        <v>1</v>
      </c>
      <c r="P34" s="5">
        <f t="shared" si="6"/>
        <v>0</v>
      </c>
      <c r="Q34">
        <f t="shared" si="1"/>
        <v>0</v>
      </c>
      <c r="R34">
        <f t="shared" si="2"/>
        <v>0</v>
      </c>
      <c r="S34">
        <f t="shared" si="3"/>
        <v>0</v>
      </c>
      <c r="T34">
        <f t="shared" si="4"/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 s="7">
        <v>3.9</v>
      </c>
      <c r="M35">
        <v>799477.76000000001</v>
      </c>
      <c r="N35">
        <v>164974.41</v>
      </c>
      <c r="O35" s="5">
        <f t="shared" si="5"/>
        <v>1</v>
      </c>
      <c r="P35" s="5">
        <f t="shared" ref="P35:P85" si="7">IF($C35="South",1,0)</f>
        <v>0</v>
      </c>
      <c r="Q35">
        <f t="shared" si="1"/>
        <v>0</v>
      </c>
      <c r="R35">
        <f t="shared" si="2"/>
        <v>0</v>
      </c>
      <c r="S35">
        <f t="shared" si="3"/>
        <v>0</v>
      </c>
      <c r="T35">
        <f t="shared" si="4"/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 s="5">
        <f t="shared" si="5"/>
        <v>1</v>
      </c>
      <c r="P36" s="5">
        <f t="shared" si="7"/>
        <v>0</v>
      </c>
      <c r="Q36">
        <f t="shared" si="1"/>
        <v>0</v>
      </c>
      <c r="R36">
        <f t="shared" si="2"/>
        <v>0</v>
      </c>
      <c r="S36">
        <f t="shared" si="3"/>
        <v>0</v>
      </c>
      <c r="T36">
        <f t="shared" si="4"/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 s="5">
        <f t="shared" si="5"/>
        <v>1</v>
      </c>
      <c r="P37" s="5">
        <f t="shared" si="7"/>
        <v>0</v>
      </c>
      <c r="Q37">
        <f t="shared" si="1"/>
        <v>0</v>
      </c>
      <c r="R37">
        <f t="shared" si="2"/>
        <v>0</v>
      </c>
      <c r="S37">
        <f t="shared" si="3"/>
        <v>0</v>
      </c>
      <c r="T37">
        <f t="shared" si="4"/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 s="5">
        <f t="shared" si="5"/>
        <v>1</v>
      </c>
      <c r="P38" s="5">
        <f t="shared" si="7"/>
        <v>0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1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 s="5">
        <f t="shared" si="5"/>
        <v>1</v>
      </c>
      <c r="P39" s="5">
        <f t="shared" si="7"/>
        <v>0</v>
      </c>
      <c r="Q39">
        <f t="shared" si="1"/>
        <v>0</v>
      </c>
      <c r="R39">
        <f t="shared" si="2"/>
        <v>0</v>
      </c>
      <c r="S39">
        <f t="shared" si="3"/>
        <v>0</v>
      </c>
      <c r="T39">
        <f t="shared" si="4"/>
        <v>1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 s="5">
        <f t="shared" si="5"/>
        <v>1</v>
      </c>
      <c r="P40" s="5">
        <f t="shared" si="7"/>
        <v>0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1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 s="5">
        <f t="shared" si="5"/>
        <v>1</v>
      </c>
      <c r="P41" s="5">
        <f t="shared" si="7"/>
        <v>0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1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 s="5">
        <f t="shared" si="5"/>
        <v>0</v>
      </c>
      <c r="P42" s="5">
        <f t="shared" si="7"/>
        <v>0</v>
      </c>
      <c r="Q42">
        <f t="shared" si="1"/>
        <v>0</v>
      </c>
      <c r="R42">
        <f t="shared" si="2"/>
        <v>0</v>
      </c>
      <c r="S42">
        <f t="shared" si="3"/>
        <v>0</v>
      </c>
      <c r="T42">
        <f t="shared" si="4"/>
        <v>1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 s="5">
        <f t="shared" si="5"/>
        <v>0</v>
      </c>
      <c r="P43" s="5">
        <f t="shared" si="7"/>
        <v>0</v>
      </c>
      <c r="Q43">
        <f t="shared" si="1"/>
        <v>0</v>
      </c>
      <c r="R43">
        <f t="shared" si="2"/>
        <v>0</v>
      </c>
      <c r="S43">
        <f t="shared" si="3"/>
        <v>0</v>
      </c>
      <c r="T43">
        <f t="shared" si="4"/>
        <v>1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 s="5">
        <f t="shared" si="5"/>
        <v>0</v>
      </c>
      <c r="P44" s="5">
        <f t="shared" si="7"/>
        <v>0</v>
      </c>
      <c r="Q44">
        <f t="shared" si="1"/>
        <v>0</v>
      </c>
      <c r="R44">
        <f t="shared" si="2"/>
        <v>0</v>
      </c>
      <c r="S44">
        <f t="shared" si="3"/>
        <v>0</v>
      </c>
      <c r="T44">
        <f t="shared" si="4"/>
        <v>1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 s="5">
        <f t="shared" si="5"/>
        <v>0</v>
      </c>
      <c r="P45" s="5">
        <f t="shared" si="7"/>
        <v>0</v>
      </c>
      <c r="Q45">
        <f t="shared" si="1"/>
        <v>0</v>
      </c>
      <c r="R45">
        <f t="shared" si="2"/>
        <v>0</v>
      </c>
      <c r="S45">
        <f t="shared" si="3"/>
        <v>0</v>
      </c>
      <c r="T45">
        <f t="shared" si="4"/>
        <v>1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 s="5">
        <f t="shared" si="5"/>
        <v>0</v>
      </c>
      <c r="P46" s="5">
        <f t="shared" si="7"/>
        <v>0</v>
      </c>
      <c r="Q46">
        <f t="shared" si="1"/>
        <v>1</v>
      </c>
      <c r="R46">
        <f t="shared" si="2"/>
        <v>0</v>
      </c>
      <c r="S46">
        <f t="shared" si="3"/>
        <v>0</v>
      </c>
      <c r="T46">
        <f t="shared" si="4"/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 s="5">
        <f t="shared" si="5"/>
        <v>0</v>
      </c>
      <c r="P47" s="5">
        <f t="shared" si="7"/>
        <v>0</v>
      </c>
      <c r="Q47">
        <f t="shared" si="1"/>
        <v>1</v>
      </c>
      <c r="R47">
        <f t="shared" si="2"/>
        <v>0</v>
      </c>
      <c r="S47">
        <f t="shared" si="3"/>
        <v>0</v>
      </c>
      <c r="T47">
        <f t="shared" si="4"/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 s="5">
        <f t="shared" si="5"/>
        <v>0</v>
      </c>
      <c r="P48" s="5">
        <f t="shared" si="7"/>
        <v>0</v>
      </c>
      <c r="Q48">
        <f t="shared" si="1"/>
        <v>1</v>
      </c>
      <c r="R48">
        <f t="shared" si="2"/>
        <v>0</v>
      </c>
      <c r="S48">
        <f t="shared" si="3"/>
        <v>0</v>
      </c>
      <c r="T48">
        <f t="shared" si="4"/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 s="5">
        <f t="shared" si="5"/>
        <v>0</v>
      </c>
      <c r="P49" s="5">
        <f t="shared" si="7"/>
        <v>0</v>
      </c>
      <c r="Q49">
        <f t="shared" si="1"/>
        <v>1</v>
      </c>
      <c r="R49">
        <f t="shared" si="2"/>
        <v>0</v>
      </c>
      <c r="S49">
        <f t="shared" si="3"/>
        <v>0</v>
      </c>
      <c r="T49">
        <f t="shared" si="4"/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 s="5">
        <f t="shared" si="5"/>
        <v>1</v>
      </c>
      <c r="P50" s="5">
        <f t="shared" si="7"/>
        <v>0</v>
      </c>
      <c r="Q50">
        <f t="shared" si="1"/>
        <v>0</v>
      </c>
      <c r="R50">
        <f t="shared" si="2"/>
        <v>0</v>
      </c>
      <c r="S50">
        <f t="shared" si="3"/>
        <v>0</v>
      </c>
      <c r="T50">
        <f t="shared" si="4"/>
        <v>1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 s="5">
        <f t="shared" si="5"/>
        <v>1</v>
      </c>
      <c r="P51" s="5">
        <f t="shared" si="7"/>
        <v>0</v>
      </c>
      <c r="Q51">
        <f t="shared" si="1"/>
        <v>0</v>
      </c>
      <c r="R51">
        <f t="shared" si="2"/>
        <v>0</v>
      </c>
      <c r="S51">
        <f t="shared" si="3"/>
        <v>0</v>
      </c>
      <c r="T51">
        <f t="shared" si="4"/>
        <v>1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 s="5">
        <f t="shared" si="5"/>
        <v>1</v>
      </c>
      <c r="P52" s="5">
        <f t="shared" si="7"/>
        <v>0</v>
      </c>
      <c r="Q52">
        <f t="shared" si="1"/>
        <v>0</v>
      </c>
      <c r="R52">
        <f t="shared" si="2"/>
        <v>0</v>
      </c>
      <c r="S52">
        <f t="shared" si="3"/>
        <v>0</v>
      </c>
      <c r="T52">
        <f t="shared" si="4"/>
        <v>1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 s="5">
        <f t="shared" si="5"/>
        <v>1</v>
      </c>
      <c r="P53" s="5">
        <f t="shared" si="7"/>
        <v>0</v>
      </c>
      <c r="Q53">
        <f t="shared" si="1"/>
        <v>0</v>
      </c>
      <c r="R53">
        <f t="shared" si="2"/>
        <v>0</v>
      </c>
      <c r="S53">
        <f t="shared" si="3"/>
        <v>0</v>
      </c>
      <c r="T53">
        <f t="shared" si="4"/>
        <v>1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 s="5">
        <f t="shared" si="5"/>
        <v>0</v>
      </c>
      <c r="P54" s="5">
        <f t="shared" si="7"/>
        <v>0</v>
      </c>
      <c r="Q54">
        <f t="shared" si="1"/>
        <v>1</v>
      </c>
      <c r="R54">
        <f t="shared" si="2"/>
        <v>0</v>
      </c>
      <c r="S54">
        <f t="shared" si="3"/>
        <v>1</v>
      </c>
      <c r="T54">
        <f t="shared" si="4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 s="5">
        <f t="shared" si="5"/>
        <v>0</v>
      </c>
      <c r="P55" s="5">
        <f t="shared" si="7"/>
        <v>0</v>
      </c>
      <c r="Q55">
        <f t="shared" si="1"/>
        <v>1</v>
      </c>
      <c r="R55">
        <f t="shared" si="2"/>
        <v>0</v>
      </c>
      <c r="S55">
        <f t="shared" si="3"/>
        <v>1</v>
      </c>
      <c r="T55">
        <f t="shared" si="4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 s="5">
        <f t="shared" si="5"/>
        <v>0</v>
      </c>
      <c r="P56" s="5">
        <f t="shared" si="7"/>
        <v>0</v>
      </c>
      <c r="Q56">
        <f t="shared" si="1"/>
        <v>1</v>
      </c>
      <c r="R56">
        <f t="shared" si="2"/>
        <v>0</v>
      </c>
      <c r="S56">
        <f t="shared" si="3"/>
        <v>1</v>
      </c>
      <c r="T56">
        <f t="shared" si="4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 s="5">
        <f t="shared" si="5"/>
        <v>0</v>
      </c>
      <c r="P57" s="5">
        <f t="shared" si="7"/>
        <v>0</v>
      </c>
      <c r="Q57">
        <f t="shared" si="1"/>
        <v>1</v>
      </c>
      <c r="R57">
        <f t="shared" si="2"/>
        <v>0</v>
      </c>
      <c r="S57">
        <f t="shared" si="3"/>
        <v>1</v>
      </c>
      <c r="T57">
        <f t="shared" si="4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 s="5">
        <f t="shared" si="5"/>
        <v>0</v>
      </c>
      <c r="P58" s="5">
        <f t="shared" si="7"/>
        <v>0</v>
      </c>
      <c r="Q58">
        <f t="shared" si="1"/>
        <v>0</v>
      </c>
      <c r="R58">
        <f t="shared" si="2"/>
        <v>1</v>
      </c>
      <c r="S58">
        <f t="shared" si="3"/>
        <v>0</v>
      </c>
      <c r="T58">
        <f t="shared" si="4"/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 s="5">
        <f t="shared" si="5"/>
        <v>0</v>
      </c>
      <c r="P59" s="5">
        <f t="shared" si="7"/>
        <v>0</v>
      </c>
      <c r="Q59">
        <f t="shared" si="1"/>
        <v>0</v>
      </c>
      <c r="R59">
        <f t="shared" si="2"/>
        <v>1</v>
      </c>
      <c r="S59">
        <f t="shared" si="3"/>
        <v>0</v>
      </c>
      <c r="T59">
        <f t="shared" si="4"/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 s="5">
        <f t="shared" si="5"/>
        <v>0</v>
      </c>
      <c r="P60" s="5">
        <f t="shared" si="7"/>
        <v>0</v>
      </c>
      <c r="Q60">
        <f t="shared" si="1"/>
        <v>0</v>
      </c>
      <c r="R60">
        <f t="shared" si="2"/>
        <v>1</v>
      </c>
      <c r="S60">
        <f t="shared" si="3"/>
        <v>0</v>
      </c>
      <c r="T60">
        <f t="shared" si="4"/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 s="5">
        <f t="shared" si="5"/>
        <v>0</v>
      </c>
      <c r="P61" s="5">
        <f t="shared" si="7"/>
        <v>0</v>
      </c>
      <c r="Q61">
        <f t="shared" si="1"/>
        <v>0</v>
      </c>
      <c r="R61">
        <f t="shared" si="2"/>
        <v>1</v>
      </c>
      <c r="S61">
        <f t="shared" si="3"/>
        <v>0</v>
      </c>
      <c r="T61">
        <f t="shared" si="4"/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 s="5">
        <f t="shared" si="5"/>
        <v>0</v>
      </c>
      <c r="P62" s="5">
        <f t="shared" si="7"/>
        <v>1</v>
      </c>
      <c r="Q62">
        <f t="shared" si="1"/>
        <v>0</v>
      </c>
      <c r="R62">
        <f t="shared" si="2"/>
        <v>0</v>
      </c>
      <c r="S62">
        <f t="shared" si="3"/>
        <v>1</v>
      </c>
      <c r="T62">
        <f t="shared" si="4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 s="5">
        <f t="shared" si="5"/>
        <v>0</v>
      </c>
      <c r="P63" s="5">
        <f t="shared" si="7"/>
        <v>1</v>
      </c>
      <c r="Q63">
        <f t="shared" si="1"/>
        <v>0</v>
      </c>
      <c r="R63">
        <f t="shared" si="2"/>
        <v>0</v>
      </c>
      <c r="S63">
        <f t="shared" si="3"/>
        <v>1</v>
      </c>
      <c r="T63">
        <f t="shared" si="4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 s="5">
        <f t="shared" si="5"/>
        <v>0</v>
      </c>
      <c r="P64" s="5">
        <f t="shared" si="7"/>
        <v>1</v>
      </c>
      <c r="Q64">
        <f t="shared" si="1"/>
        <v>0</v>
      </c>
      <c r="R64">
        <f t="shared" si="2"/>
        <v>0</v>
      </c>
      <c r="S64">
        <f t="shared" si="3"/>
        <v>1</v>
      </c>
      <c r="T64">
        <f t="shared" si="4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 s="5">
        <f t="shared" si="5"/>
        <v>0</v>
      </c>
      <c r="P65" s="5">
        <f t="shared" si="7"/>
        <v>1</v>
      </c>
      <c r="Q65">
        <f t="shared" si="1"/>
        <v>0</v>
      </c>
      <c r="R65">
        <f t="shared" si="2"/>
        <v>0</v>
      </c>
      <c r="S65">
        <f t="shared" si="3"/>
        <v>1</v>
      </c>
      <c r="T65">
        <f t="shared" si="4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 s="5">
        <f t="shared" si="5"/>
        <v>0</v>
      </c>
      <c r="P66" s="5">
        <f t="shared" si="7"/>
        <v>0</v>
      </c>
      <c r="Q66">
        <f t="shared" si="1"/>
        <v>1</v>
      </c>
      <c r="R66">
        <f t="shared" si="2"/>
        <v>0</v>
      </c>
      <c r="S66">
        <f t="shared" si="3"/>
        <v>1</v>
      </c>
      <c r="T66">
        <f t="shared" si="4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 s="5">
        <f t="shared" ref="O67:O130" si="8">IF($C67="North",1,0)</f>
        <v>0</v>
      </c>
      <c r="P67" s="5">
        <f t="shared" si="7"/>
        <v>0</v>
      </c>
      <c r="Q67">
        <f t="shared" ref="Q67:Q130" si="9">IF($C67="West",1,0)</f>
        <v>1</v>
      </c>
      <c r="R67">
        <f t="shared" ref="R67:R130" si="10">IF($D67="Airport",1,0)</f>
        <v>0</v>
      </c>
      <c r="S67">
        <f t="shared" ref="S67:S130" si="11">IF($D67="High Street",1,0)</f>
        <v>1</v>
      </c>
      <c r="T67">
        <f t="shared" ref="T67:T130" si="12">IF($D67="Mall",1,0)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 s="5">
        <f t="shared" si="8"/>
        <v>0</v>
      </c>
      <c r="P68" s="5">
        <f t="shared" si="7"/>
        <v>0</v>
      </c>
      <c r="Q68">
        <f t="shared" si="9"/>
        <v>1</v>
      </c>
      <c r="R68">
        <f t="shared" si="10"/>
        <v>0</v>
      </c>
      <c r="S68">
        <f t="shared" si="11"/>
        <v>1</v>
      </c>
      <c r="T68">
        <f t="shared" si="12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 s="5">
        <f t="shared" si="8"/>
        <v>0</v>
      </c>
      <c r="P69" s="5">
        <f t="shared" si="7"/>
        <v>0</v>
      </c>
      <c r="Q69">
        <f t="shared" si="9"/>
        <v>1</v>
      </c>
      <c r="R69">
        <f t="shared" si="10"/>
        <v>0</v>
      </c>
      <c r="S69">
        <f t="shared" si="11"/>
        <v>1</v>
      </c>
      <c r="T69">
        <f t="shared" si="12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 s="5">
        <f t="shared" si="8"/>
        <v>0</v>
      </c>
      <c r="P70" s="5">
        <f t="shared" si="7"/>
        <v>0</v>
      </c>
      <c r="Q70">
        <f t="shared" si="9"/>
        <v>0</v>
      </c>
      <c r="R70">
        <f t="shared" si="10"/>
        <v>0</v>
      </c>
      <c r="S70">
        <f t="shared" si="11"/>
        <v>1</v>
      </c>
      <c r="T70">
        <f t="shared" si="12"/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 s="5">
        <f t="shared" si="8"/>
        <v>0</v>
      </c>
      <c r="P71" s="5">
        <f t="shared" si="7"/>
        <v>0</v>
      </c>
      <c r="Q71">
        <f t="shared" si="9"/>
        <v>0</v>
      </c>
      <c r="R71">
        <f t="shared" si="10"/>
        <v>0</v>
      </c>
      <c r="S71">
        <f t="shared" si="11"/>
        <v>1</v>
      </c>
      <c r="T71">
        <f t="shared" si="12"/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 s="5">
        <f t="shared" si="8"/>
        <v>0</v>
      </c>
      <c r="P72" s="5">
        <f t="shared" si="7"/>
        <v>0</v>
      </c>
      <c r="Q72">
        <f t="shared" si="9"/>
        <v>0</v>
      </c>
      <c r="R72">
        <f t="shared" si="10"/>
        <v>0</v>
      </c>
      <c r="S72">
        <f t="shared" si="11"/>
        <v>1</v>
      </c>
      <c r="T72">
        <f t="shared" si="12"/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 s="6">
        <v>4.5999999999999996</v>
      </c>
      <c r="K73">
        <v>0</v>
      </c>
      <c r="L73">
        <v>3.5</v>
      </c>
      <c r="M73">
        <v>674774.09</v>
      </c>
      <c r="N73">
        <v>141917.59</v>
      </c>
      <c r="O73" s="5">
        <f t="shared" si="8"/>
        <v>0</v>
      </c>
      <c r="P73" s="5">
        <f t="shared" si="7"/>
        <v>0</v>
      </c>
      <c r="Q73">
        <f t="shared" si="9"/>
        <v>0</v>
      </c>
      <c r="R73">
        <f t="shared" si="10"/>
        <v>0</v>
      </c>
      <c r="S73">
        <f t="shared" si="11"/>
        <v>1</v>
      </c>
      <c r="T73">
        <f t="shared" si="12"/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 s="5">
        <f t="shared" si="8"/>
        <v>0</v>
      </c>
      <c r="P74" s="5">
        <f t="shared" si="7"/>
        <v>0</v>
      </c>
      <c r="Q74">
        <f t="shared" si="9"/>
        <v>0</v>
      </c>
      <c r="R74">
        <f t="shared" si="10"/>
        <v>0</v>
      </c>
      <c r="S74">
        <f t="shared" si="11"/>
        <v>0</v>
      </c>
      <c r="T74">
        <f t="shared" si="12"/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 s="5">
        <f t="shared" si="8"/>
        <v>0</v>
      </c>
      <c r="P75" s="5">
        <f t="shared" si="7"/>
        <v>0</v>
      </c>
      <c r="Q75">
        <f t="shared" si="9"/>
        <v>0</v>
      </c>
      <c r="R75">
        <f t="shared" si="10"/>
        <v>0</v>
      </c>
      <c r="S75">
        <f t="shared" si="11"/>
        <v>0</v>
      </c>
      <c r="T75">
        <f t="shared" si="12"/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 s="5">
        <f t="shared" si="8"/>
        <v>0</v>
      </c>
      <c r="P76" s="5">
        <f t="shared" si="7"/>
        <v>0</v>
      </c>
      <c r="Q76">
        <f t="shared" si="9"/>
        <v>0</v>
      </c>
      <c r="R76">
        <f t="shared" si="10"/>
        <v>0</v>
      </c>
      <c r="S76">
        <f t="shared" si="11"/>
        <v>0</v>
      </c>
      <c r="T76">
        <f t="shared" si="12"/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 s="5">
        <f t="shared" si="8"/>
        <v>0</v>
      </c>
      <c r="P77" s="5">
        <f t="shared" si="7"/>
        <v>0</v>
      </c>
      <c r="Q77">
        <f t="shared" si="9"/>
        <v>0</v>
      </c>
      <c r="R77">
        <f t="shared" si="10"/>
        <v>0</v>
      </c>
      <c r="S77">
        <f t="shared" si="11"/>
        <v>0</v>
      </c>
      <c r="T77">
        <f t="shared" si="12"/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 s="5">
        <f t="shared" si="8"/>
        <v>0</v>
      </c>
      <c r="P78" s="5">
        <f t="shared" si="7"/>
        <v>1</v>
      </c>
      <c r="Q78">
        <f t="shared" si="9"/>
        <v>0</v>
      </c>
      <c r="R78">
        <f t="shared" si="10"/>
        <v>0</v>
      </c>
      <c r="S78">
        <f t="shared" si="11"/>
        <v>1</v>
      </c>
      <c r="T78">
        <f t="shared" si="12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 s="5">
        <f t="shared" si="8"/>
        <v>0</v>
      </c>
      <c r="P79" s="5">
        <f t="shared" si="7"/>
        <v>1</v>
      </c>
      <c r="Q79">
        <f t="shared" si="9"/>
        <v>0</v>
      </c>
      <c r="R79">
        <f t="shared" si="10"/>
        <v>0</v>
      </c>
      <c r="S79">
        <f t="shared" si="11"/>
        <v>1</v>
      </c>
      <c r="T79">
        <f t="shared" si="12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 s="5">
        <f t="shared" si="8"/>
        <v>0</v>
      </c>
      <c r="P80" s="5">
        <f t="shared" si="7"/>
        <v>1</v>
      </c>
      <c r="Q80">
        <f t="shared" si="9"/>
        <v>0</v>
      </c>
      <c r="R80">
        <f t="shared" si="10"/>
        <v>0</v>
      </c>
      <c r="S80">
        <f t="shared" si="11"/>
        <v>1</v>
      </c>
      <c r="T80">
        <f t="shared" si="12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 s="5">
        <f t="shared" si="8"/>
        <v>0</v>
      </c>
      <c r="P81" s="5">
        <f t="shared" si="7"/>
        <v>1</v>
      </c>
      <c r="Q81">
        <f t="shared" si="9"/>
        <v>0</v>
      </c>
      <c r="R81">
        <f t="shared" si="10"/>
        <v>0</v>
      </c>
      <c r="S81">
        <f t="shared" si="11"/>
        <v>1</v>
      </c>
      <c r="T81">
        <f t="shared" si="12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 s="5">
        <f t="shared" si="8"/>
        <v>0</v>
      </c>
      <c r="P82" s="5">
        <f t="shared" si="7"/>
        <v>0</v>
      </c>
      <c r="Q82">
        <f t="shared" si="9"/>
        <v>1</v>
      </c>
      <c r="R82">
        <f t="shared" si="10"/>
        <v>0</v>
      </c>
      <c r="S82">
        <f t="shared" si="11"/>
        <v>0</v>
      </c>
      <c r="T82">
        <f t="shared" si="12"/>
        <v>1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 s="5">
        <f t="shared" si="8"/>
        <v>0</v>
      </c>
      <c r="P83" s="5">
        <f t="shared" si="7"/>
        <v>0</v>
      </c>
      <c r="Q83">
        <f t="shared" si="9"/>
        <v>1</v>
      </c>
      <c r="R83">
        <f t="shared" si="10"/>
        <v>0</v>
      </c>
      <c r="S83">
        <f t="shared" si="11"/>
        <v>0</v>
      </c>
      <c r="T83">
        <f t="shared" si="12"/>
        <v>1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 s="5">
        <f t="shared" si="8"/>
        <v>0</v>
      </c>
      <c r="P84" s="5">
        <f t="shared" si="7"/>
        <v>0</v>
      </c>
      <c r="Q84">
        <f t="shared" si="9"/>
        <v>1</v>
      </c>
      <c r="R84">
        <f t="shared" si="10"/>
        <v>0</v>
      </c>
      <c r="S84">
        <f t="shared" si="11"/>
        <v>0</v>
      </c>
      <c r="T84">
        <f t="shared" si="12"/>
        <v>1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 s="5">
        <f t="shared" si="8"/>
        <v>0</v>
      </c>
      <c r="P85" s="5">
        <f t="shared" si="7"/>
        <v>0</v>
      </c>
      <c r="Q85">
        <f t="shared" si="9"/>
        <v>1</v>
      </c>
      <c r="R85">
        <f t="shared" si="10"/>
        <v>0</v>
      </c>
      <c r="S85">
        <f t="shared" si="11"/>
        <v>0</v>
      </c>
      <c r="T85">
        <f t="shared" si="12"/>
        <v>1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 s="5">
        <f t="shared" si="8"/>
        <v>0</v>
      </c>
      <c r="P86" s="5">
        <f t="shared" ref="P86:P136" si="13">IF($C86="South",1,0)</f>
        <v>0</v>
      </c>
      <c r="Q86">
        <f t="shared" si="9"/>
        <v>1</v>
      </c>
      <c r="R86">
        <f t="shared" si="10"/>
        <v>0</v>
      </c>
      <c r="S86">
        <f t="shared" si="11"/>
        <v>1</v>
      </c>
      <c r="T86">
        <f t="shared" si="12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 s="7">
        <v>3.9</v>
      </c>
      <c r="M87">
        <v>611766.72</v>
      </c>
      <c r="N87">
        <v>88275.61</v>
      </c>
      <c r="O87" s="5">
        <f t="shared" si="8"/>
        <v>0</v>
      </c>
      <c r="P87" s="5">
        <f t="shared" si="13"/>
        <v>0</v>
      </c>
      <c r="Q87">
        <f t="shared" si="9"/>
        <v>1</v>
      </c>
      <c r="R87">
        <f t="shared" si="10"/>
        <v>0</v>
      </c>
      <c r="S87">
        <f t="shared" si="11"/>
        <v>1</v>
      </c>
      <c r="T87">
        <f t="shared" si="12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 s="5">
        <f t="shared" si="8"/>
        <v>0</v>
      </c>
      <c r="P88" s="5">
        <f t="shared" si="13"/>
        <v>0</v>
      </c>
      <c r="Q88">
        <f t="shared" si="9"/>
        <v>1</v>
      </c>
      <c r="R88">
        <f t="shared" si="10"/>
        <v>0</v>
      </c>
      <c r="S88">
        <f t="shared" si="11"/>
        <v>1</v>
      </c>
      <c r="T88">
        <f t="shared" si="12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 s="5">
        <f t="shared" si="8"/>
        <v>0</v>
      </c>
      <c r="P89" s="5">
        <f t="shared" si="13"/>
        <v>0</v>
      </c>
      <c r="Q89">
        <f t="shared" si="9"/>
        <v>1</v>
      </c>
      <c r="R89">
        <f t="shared" si="10"/>
        <v>0</v>
      </c>
      <c r="S89">
        <f t="shared" si="11"/>
        <v>1</v>
      </c>
      <c r="T89">
        <f t="shared" si="12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 s="5">
        <f t="shared" si="8"/>
        <v>0</v>
      </c>
      <c r="P90" s="5">
        <f t="shared" si="13"/>
        <v>1</v>
      </c>
      <c r="Q90">
        <f t="shared" si="9"/>
        <v>0</v>
      </c>
      <c r="R90">
        <f t="shared" si="10"/>
        <v>0</v>
      </c>
      <c r="S90">
        <f t="shared" si="11"/>
        <v>0</v>
      </c>
      <c r="T90">
        <f t="shared" si="12"/>
        <v>1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 s="5">
        <f t="shared" si="8"/>
        <v>0</v>
      </c>
      <c r="P91" s="5">
        <f t="shared" si="13"/>
        <v>1</v>
      </c>
      <c r="Q91">
        <f t="shared" si="9"/>
        <v>0</v>
      </c>
      <c r="R91">
        <f t="shared" si="10"/>
        <v>0</v>
      </c>
      <c r="S91">
        <f t="shared" si="11"/>
        <v>0</v>
      </c>
      <c r="T91">
        <f t="shared" si="12"/>
        <v>1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 s="5">
        <f t="shared" si="8"/>
        <v>0</v>
      </c>
      <c r="P92" s="5">
        <f t="shared" si="13"/>
        <v>1</v>
      </c>
      <c r="Q92">
        <f t="shared" si="9"/>
        <v>0</v>
      </c>
      <c r="R92">
        <f t="shared" si="10"/>
        <v>0</v>
      </c>
      <c r="S92">
        <f t="shared" si="11"/>
        <v>0</v>
      </c>
      <c r="T92">
        <f t="shared" si="12"/>
        <v>1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 s="5">
        <f t="shared" si="8"/>
        <v>0</v>
      </c>
      <c r="P93" s="5">
        <f t="shared" si="13"/>
        <v>1</v>
      </c>
      <c r="Q93">
        <f t="shared" si="9"/>
        <v>0</v>
      </c>
      <c r="R93">
        <f t="shared" si="10"/>
        <v>0</v>
      </c>
      <c r="S93">
        <f t="shared" si="11"/>
        <v>0</v>
      </c>
      <c r="T93">
        <f t="shared" si="12"/>
        <v>1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 s="5">
        <f t="shared" si="8"/>
        <v>0</v>
      </c>
      <c r="P94" s="5">
        <f t="shared" si="13"/>
        <v>0</v>
      </c>
      <c r="Q94">
        <f t="shared" si="9"/>
        <v>1</v>
      </c>
      <c r="R94">
        <f t="shared" si="10"/>
        <v>0</v>
      </c>
      <c r="S94">
        <f t="shared" si="11"/>
        <v>0</v>
      </c>
      <c r="T94">
        <f t="shared" si="12"/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 s="5">
        <f t="shared" si="8"/>
        <v>0</v>
      </c>
      <c r="P95" s="5">
        <f t="shared" si="13"/>
        <v>0</v>
      </c>
      <c r="Q95">
        <f t="shared" si="9"/>
        <v>1</v>
      </c>
      <c r="R95">
        <f t="shared" si="10"/>
        <v>0</v>
      </c>
      <c r="S95">
        <f t="shared" si="11"/>
        <v>0</v>
      </c>
      <c r="T95">
        <f t="shared" si="12"/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 s="5">
        <f t="shared" si="8"/>
        <v>0</v>
      </c>
      <c r="P96" s="5">
        <f t="shared" si="13"/>
        <v>0</v>
      </c>
      <c r="Q96">
        <f t="shared" si="9"/>
        <v>1</v>
      </c>
      <c r="R96">
        <f t="shared" si="10"/>
        <v>0</v>
      </c>
      <c r="S96">
        <f t="shared" si="11"/>
        <v>0</v>
      </c>
      <c r="T96">
        <f t="shared" si="12"/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 s="5">
        <f t="shared" si="8"/>
        <v>0</v>
      </c>
      <c r="P97" s="5">
        <f t="shared" si="13"/>
        <v>0</v>
      </c>
      <c r="Q97">
        <f t="shared" si="9"/>
        <v>1</v>
      </c>
      <c r="R97">
        <f t="shared" si="10"/>
        <v>0</v>
      </c>
      <c r="S97">
        <f t="shared" si="11"/>
        <v>0</v>
      </c>
      <c r="T97">
        <f t="shared" si="12"/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 s="5">
        <f t="shared" si="8"/>
        <v>0</v>
      </c>
      <c r="P98" s="5">
        <f t="shared" si="13"/>
        <v>0</v>
      </c>
      <c r="Q98">
        <f t="shared" si="9"/>
        <v>1</v>
      </c>
      <c r="R98">
        <f t="shared" si="10"/>
        <v>0</v>
      </c>
      <c r="S98">
        <f t="shared" si="11"/>
        <v>0</v>
      </c>
      <c r="T98">
        <f t="shared" si="12"/>
        <v>1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 s="5">
        <f t="shared" si="8"/>
        <v>0</v>
      </c>
      <c r="P99" s="5">
        <f t="shared" si="13"/>
        <v>0</v>
      </c>
      <c r="Q99">
        <f t="shared" si="9"/>
        <v>1</v>
      </c>
      <c r="R99">
        <f t="shared" si="10"/>
        <v>0</v>
      </c>
      <c r="S99">
        <f t="shared" si="11"/>
        <v>0</v>
      </c>
      <c r="T99">
        <f t="shared" si="12"/>
        <v>1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 s="6">
        <v>4.5999999999999996</v>
      </c>
      <c r="K100">
        <v>0</v>
      </c>
      <c r="L100">
        <v>4.3</v>
      </c>
      <c r="M100">
        <v>605775.32999999996</v>
      </c>
      <c r="N100">
        <v>107194.6</v>
      </c>
      <c r="O100" s="5">
        <f t="shared" si="8"/>
        <v>0</v>
      </c>
      <c r="P100" s="5">
        <f t="shared" si="13"/>
        <v>0</v>
      </c>
      <c r="Q100">
        <f t="shared" si="9"/>
        <v>1</v>
      </c>
      <c r="R100">
        <f t="shared" si="10"/>
        <v>0</v>
      </c>
      <c r="S100">
        <f t="shared" si="11"/>
        <v>0</v>
      </c>
      <c r="T100">
        <f t="shared" si="12"/>
        <v>1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 s="5">
        <f t="shared" si="8"/>
        <v>0</v>
      </c>
      <c r="P101" s="5">
        <f t="shared" si="13"/>
        <v>0</v>
      </c>
      <c r="Q101">
        <f t="shared" si="9"/>
        <v>1</v>
      </c>
      <c r="R101">
        <f t="shared" si="10"/>
        <v>0</v>
      </c>
      <c r="S101">
        <f t="shared" si="11"/>
        <v>0</v>
      </c>
      <c r="T101">
        <f t="shared" si="12"/>
        <v>1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 s="5">
        <f t="shared" si="8"/>
        <v>0</v>
      </c>
      <c r="P102" s="5">
        <f t="shared" si="13"/>
        <v>0</v>
      </c>
      <c r="Q102">
        <f t="shared" si="9"/>
        <v>0</v>
      </c>
      <c r="R102">
        <f t="shared" si="10"/>
        <v>0</v>
      </c>
      <c r="S102">
        <f t="shared" si="11"/>
        <v>0</v>
      </c>
      <c r="T102">
        <f t="shared" si="12"/>
        <v>1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 s="5">
        <f t="shared" si="8"/>
        <v>0</v>
      </c>
      <c r="P103" s="5">
        <f t="shared" si="13"/>
        <v>0</v>
      </c>
      <c r="Q103">
        <f t="shared" si="9"/>
        <v>0</v>
      </c>
      <c r="R103">
        <f t="shared" si="10"/>
        <v>0</v>
      </c>
      <c r="S103">
        <f t="shared" si="11"/>
        <v>0</v>
      </c>
      <c r="T103">
        <f t="shared" si="12"/>
        <v>1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 s="5">
        <f t="shared" si="8"/>
        <v>0</v>
      </c>
      <c r="P104" s="5">
        <f t="shared" si="13"/>
        <v>0</v>
      </c>
      <c r="Q104">
        <f t="shared" si="9"/>
        <v>0</v>
      </c>
      <c r="R104">
        <f t="shared" si="10"/>
        <v>0</v>
      </c>
      <c r="S104">
        <f t="shared" si="11"/>
        <v>0</v>
      </c>
      <c r="T104">
        <f t="shared" si="12"/>
        <v>1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 s="5">
        <f t="shared" si="8"/>
        <v>0</v>
      </c>
      <c r="P105" s="5">
        <f t="shared" si="13"/>
        <v>0</v>
      </c>
      <c r="Q105">
        <f t="shared" si="9"/>
        <v>0</v>
      </c>
      <c r="R105">
        <f t="shared" si="10"/>
        <v>0</v>
      </c>
      <c r="S105">
        <f t="shared" si="11"/>
        <v>0</v>
      </c>
      <c r="T105">
        <f t="shared" si="12"/>
        <v>1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 s="5">
        <f t="shared" si="8"/>
        <v>0</v>
      </c>
      <c r="P106" s="5">
        <f t="shared" si="13"/>
        <v>0</v>
      </c>
      <c r="Q106">
        <f t="shared" si="9"/>
        <v>1</v>
      </c>
      <c r="R106">
        <f t="shared" si="10"/>
        <v>0</v>
      </c>
      <c r="S106">
        <f t="shared" si="11"/>
        <v>1</v>
      </c>
      <c r="T106">
        <f t="shared" si="12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 s="5">
        <f t="shared" si="8"/>
        <v>0</v>
      </c>
      <c r="P107" s="5">
        <f t="shared" si="13"/>
        <v>0</v>
      </c>
      <c r="Q107">
        <f t="shared" si="9"/>
        <v>1</v>
      </c>
      <c r="R107">
        <f t="shared" si="10"/>
        <v>0</v>
      </c>
      <c r="S107">
        <f t="shared" si="11"/>
        <v>1</v>
      </c>
      <c r="T107">
        <f t="shared" si="12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 s="5">
        <f t="shared" si="8"/>
        <v>0</v>
      </c>
      <c r="P108" s="5">
        <f t="shared" si="13"/>
        <v>0</v>
      </c>
      <c r="Q108">
        <f t="shared" si="9"/>
        <v>1</v>
      </c>
      <c r="R108">
        <f t="shared" si="10"/>
        <v>0</v>
      </c>
      <c r="S108">
        <f t="shared" si="11"/>
        <v>1</v>
      </c>
      <c r="T108">
        <f t="shared" si="12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 s="5">
        <f t="shared" si="8"/>
        <v>0</v>
      </c>
      <c r="P109" s="5">
        <f t="shared" si="13"/>
        <v>0</v>
      </c>
      <c r="Q109">
        <f t="shared" si="9"/>
        <v>1</v>
      </c>
      <c r="R109">
        <f t="shared" si="10"/>
        <v>0</v>
      </c>
      <c r="S109">
        <f t="shared" si="11"/>
        <v>1</v>
      </c>
      <c r="T109">
        <f t="shared" si="12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 s="5">
        <f t="shared" si="8"/>
        <v>0</v>
      </c>
      <c r="P110" s="5">
        <f t="shared" si="13"/>
        <v>0</v>
      </c>
      <c r="Q110">
        <f t="shared" si="9"/>
        <v>0</v>
      </c>
      <c r="R110">
        <f t="shared" si="10"/>
        <v>0</v>
      </c>
      <c r="S110">
        <f t="shared" si="11"/>
        <v>0</v>
      </c>
      <c r="T110">
        <f t="shared" si="12"/>
        <v>1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 s="5">
        <f t="shared" si="8"/>
        <v>0</v>
      </c>
      <c r="P111" s="5">
        <f t="shared" si="13"/>
        <v>0</v>
      </c>
      <c r="Q111">
        <f t="shared" si="9"/>
        <v>0</v>
      </c>
      <c r="R111">
        <f t="shared" si="10"/>
        <v>0</v>
      </c>
      <c r="S111">
        <f t="shared" si="11"/>
        <v>0</v>
      </c>
      <c r="T111">
        <f t="shared" si="12"/>
        <v>1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 s="5">
        <f t="shared" si="8"/>
        <v>0</v>
      </c>
      <c r="P112" s="5">
        <f t="shared" si="13"/>
        <v>0</v>
      </c>
      <c r="Q112">
        <f t="shared" si="9"/>
        <v>0</v>
      </c>
      <c r="R112">
        <f t="shared" si="10"/>
        <v>0</v>
      </c>
      <c r="S112">
        <f t="shared" si="11"/>
        <v>0</v>
      </c>
      <c r="T112">
        <f t="shared" si="12"/>
        <v>1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 s="5">
        <f t="shared" si="8"/>
        <v>0</v>
      </c>
      <c r="P113" s="5">
        <f t="shared" si="13"/>
        <v>0</v>
      </c>
      <c r="Q113">
        <f t="shared" si="9"/>
        <v>0</v>
      </c>
      <c r="R113">
        <f t="shared" si="10"/>
        <v>0</v>
      </c>
      <c r="S113">
        <f t="shared" si="11"/>
        <v>0</v>
      </c>
      <c r="T113">
        <f t="shared" si="12"/>
        <v>1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 s="5">
        <f t="shared" si="8"/>
        <v>0</v>
      </c>
      <c r="P114" s="5">
        <f t="shared" si="13"/>
        <v>0</v>
      </c>
      <c r="Q114">
        <f t="shared" si="9"/>
        <v>1</v>
      </c>
      <c r="R114">
        <f t="shared" si="10"/>
        <v>0</v>
      </c>
      <c r="S114">
        <f t="shared" si="11"/>
        <v>0</v>
      </c>
      <c r="T114">
        <f t="shared" si="12"/>
        <v>1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 s="5">
        <f t="shared" si="8"/>
        <v>0</v>
      </c>
      <c r="P115" s="5">
        <f t="shared" si="13"/>
        <v>0</v>
      </c>
      <c r="Q115">
        <f t="shared" si="9"/>
        <v>1</v>
      </c>
      <c r="R115">
        <f t="shared" si="10"/>
        <v>0</v>
      </c>
      <c r="S115">
        <f t="shared" si="11"/>
        <v>0</v>
      </c>
      <c r="T115">
        <f t="shared" si="12"/>
        <v>1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 s="5">
        <f t="shared" si="8"/>
        <v>0</v>
      </c>
      <c r="P116" s="5">
        <f t="shared" si="13"/>
        <v>0</v>
      </c>
      <c r="Q116">
        <f t="shared" si="9"/>
        <v>1</v>
      </c>
      <c r="R116">
        <f t="shared" si="10"/>
        <v>0</v>
      </c>
      <c r="S116">
        <f t="shared" si="11"/>
        <v>0</v>
      </c>
      <c r="T116">
        <f t="shared" si="12"/>
        <v>1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 s="5">
        <f t="shared" si="8"/>
        <v>0</v>
      </c>
      <c r="P117" s="5">
        <f t="shared" si="13"/>
        <v>0</v>
      </c>
      <c r="Q117">
        <f t="shared" si="9"/>
        <v>1</v>
      </c>
      <c r="R117">
        <f t="shared" si="10"/>
        <v>0</v>
      </c>
      <c r="S117">
        <f t="shared" si="11"/>
        <v>0</v>
      </c>
      <c r="T117">
        <f t="shared" si="12"/>
        <v>1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 s="5">
        <f t="shared" si="8"/>
        <v>0</v>
      </c>
      <c r="P118" s="5">
        <f t="shared" si="13"/>
        <v>0</v>
      </c>
      <c r="Q118">
        <f t="shared" si="9"/>
        <v>1</v>
      </c>
      <c r="R118">
        <f t="shared" si="10"/>
        <v>0</v>
      </c>
      <c r="S118">
        <f t="shared" si="11"/>
        <v>0</v>
      </c>
      <c r="T118">
        <f t="shared" si="12"/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 s="5">
        <f t="shared" si="8"/>
        <v>0</v>
      </c>
      <c r="P119" s="5">
        <f t="shared" si="13"/>
        <v>0</v>
      </c>
      <c r="Q119">
        <f t="shared" si="9"/>
        <v>1</v>
      </c>
      <c r="R119">
        <f t="shared" si="10"/>
        <v>0</v>
      </c>
      <c r="S119">
        <f t="shared" si="11"/>
        <v>0</v>
      </c>
      <c r="T119">
        <f t="shared" si="12"/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 s="5">
        <f t="shared" si="8"/>
        <v>0</v>
      </c>
      <c r="P120" s="5">
        <f t="shared" si="13"/>
        <v>0</v>
      </c>
      <c r="Q120">
        <f t="shared" si="9"/>
        <v>1</v>
      </c>
      <c r="R120">
        <f t="shared" si="10"/>
        <v>0</v>
      </c>
      <c r="S120">
        <f t="shared" si="11"/>
        <v>0</v>
      </c>
      <c r="T120">
        <f t="shared" si="12"/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 s="5">
        <f t="shared" si="8"/>
        <v>0</v>
      </c>
      <c r="P121" s="5">
        <f t="shared" si="13"/>
        <v>0</v>
      </c>
      <c r="Q121">
        <f t="shared" si="9"/>
        <v>1</v>
      </c>
      <c r="R121">
        <f t="shared" si="10"/>
        <v>0</v>
      </c>
      <c r="S121">
        <f t="shared" si="11"/>
        <v>0</v>
      </c>
      <c r="T121">
        <f t="shared" si="12"/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 s="5">
        <f t="shared" si="8"/>
        <v>1</v>
      </c>
      <c r="P122" s="5">
        <f t="shared" si="13"/>
        <v>0</v>
      </c>
      <c r="Q122">
        <f t="shared" si="9"/>
        <v>0</v>
      </c>
      <c r="R122">
        <f t="shared" si="10"/>
        <v>0</v>
      </c>
      <c r="S122">
        <f t="shared" si="11"/>
        <v>1</v>
      </c>
      <c r="T122">
        <f t="shared" si="12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 s="5">
        <f t="shared" si="8"/>
        <v>1</v>
      </c>
      <c r="P123" s="5">
        <f t="shared" si="13"/>
        <v>0</v>
      </c>
      <c r="Q123">
        <f t="shared" si="9"/>
        <v>0</v>
      </c>
      <c r="R123">
        <f t="shared" si="10"/>
        <v>0</v>
      </c>
      <c r="S123">
        <f t="shared" si="11"/>
        <v>1</v>
      </c>
      <c r="T123">
        <f t="shared" si="12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 s="5">
        <f t="shared" si="8"/>
        <v>1</v>
      </c>
      <c r="P124" s="5">
        <f t="shared" si="13"/>
        <v>0</v>
      </c>
      <c r="Q124">
        <f t="shared" si="9"/>
        <v>0</v>
      </c>
      <c r="R124">
        <f t="shared" si="10"/>
        <v>0</v>
      </c>
      <c r="S124">
        <f t="shared" si="11"/>
        <v>1</v>
      </c>
      <c r="T124">
        <f t="shared" si="12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 s="5">
        <f t="shared" si="8"/>
        <v>1</v>
      </c>
      <c r="P125" s="5">
        <f t="shared" si="13"/>
        <v>0</v>
      </c>
      <c r="Q125">
        <f t="shared" si="9"/>
        <v>0</v>
      </c>
      <c r="R125">
        <f t="shared" si="10"/>
        <v>0</v>
      </c>
      <c r="S125">
        <f t="shared" si="11"/>
        <v>1</v>
      </c>
      <c r="T125">
        <f t="shared" si="12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 s="5">
        <f t="shared" si="8"/>
        <v>0</v>
      </c>
      <c r="P126" s="5">
        <f t="shared" si="13"/>
        <v>1</v>
      </c>
      <c r="Q126">
        <f t="shared" si="9"/>
        <v>0</v>
      </c>
      <c r="R126">
        <f t="shared" si="10"/>
        <v>0</v>
      </c>
      <c r="S126">
        <f t="shared" si="11"/>
        <v>1</v>
      </c>
      <c r="T126">
        <f t="shared" si="12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 s="5">
        <f t="shared" si="8"/>
        <v>0</v>
      </c>
      <c r="P127" s="5">
        <f t="shared" si="13"/>
        <v>1</v>
      </c>
      <c r="Q127">
        <f t="shared" si="9"/>
        <v>0</v>
      </c>
      <c r="R127">
        <f t="shared" si="10"/>
        <v>0</v>
      </c>
      <c r="S127">
        <f t="shared" si="11"/>
        <v>1</v>
      </c>
      <c r="T127">
        <f t="shared" si="12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 s="5">
        <f t="shared" si="8"/>
        <v>0</v>
      </c>
      <c r="P128" s="5">
        <f t="shared" si="13"/>
        <v>1</v>
      </c>
      <c r="Q128">
        <f t="shared" si="9"/>
        <v>0</v>
      </c>
      <c r="R128">
        <f t="shared" si="10"/>
        <v>0</v>
      </c>
      <c r="S128">
        <f t="shared" si="11"/>
        <v>1</v>
      </c>
      <c r="T128">
        <f t="shared" si="12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 s="5">
        <f t="shared" si="8"/>
        <v>0</v>
      </c>
      <c r="P129" s="5">
        <f t="shared" si="13"/>
        <v>1</v>
      </c>
      <c r="Q129">
        <f t="shared" si="9"/>
        <v>0</v>
      </c>
      <c r="R129">
        <f t="shared" si="10"/>
        <v>0</v>
      </c>
      <c r="S129">
        <f t="shared" si="11"/>
        <v>1</v>
      </c>
      <c r="T129">
        <f t="shared" si="12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 s="5">
        <f t="shared" si="8"/>
        <v>0</v>
      </c>
      <c r="P130" s="5">
        <f t="shared" si="13"/>
        <v>0</v>
      </c>
      <c r="Q130">
        <f t="shared" si="9"/>
        <v>0</v>
      </c>
      <c r="R130">
        <f t="shared" si="10"/>
        <v>0</v>
      </c>
      <c r="S130">
        <f t="shared" si="11"/>
        <v>1</v>
      </c>
      <c r="T130">
        <f t="shared" si="12"/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 s="5">
        <f t="shared" ref="O131:O194" si="14">IF($C131="North",1,0)</f>
        <v>0</v>
      </c>
      <c r="P131" s="5">
        <f t="shared" si="13"/>
        <v>0</v>
      </c>
      <c r="Q131">
        <f t="shared" ref="Q131:Q194" si="15">IF($C131="West",1,0)</f>
        <v>0</v>
      </c>
      <c r="R131">
        <f t="shared" ref="R131:R194" si="16">IF($D131="Airport",1,0)</f>
        <v>0</v>
      </c>
      <c r="S131">
        <f t="shared" ref="S131:S194" si="17">IF($D131="High Street",1,0)</f>
        <v>1</v>
      </c>
      <c r="T131">
        <f t="shared" ref="T131:T194" si="18">IF($D131="Mall",1,0)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 s="5">
        <f t="shared" si="14"/>
        <v>0</v>
      </c>
      <c r="P132" s="5">
        <f t="shared" si="13"/>
        <v>0</v>
      </c>
      <c r="Q132">
        <f t="shared" si="15"/>
        <v>0</v>
      </c>
      <c r="R132">
        <f t="shared" si="16"/>
        <v>0</v>
      </c>
      <c r="S132">
        <f t="shared" si="17"/>
        <v>1</v>
      </c>
      <c r="T132">
        <f t="shared" si="18"/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 s="5">
        <f t="shared" si="14"/>
        <v>0</v>
      </c>
      <c r="P133" s="5">
        <f t="shared" si="13"/>
        <v>0</v>
      </c>
      <c r="Q133">
        <f t="shared" si="15"/>
        <v>0</v>
      </c>
      <c r="R133">
        <f t="shared" si="16"/>
        <v>0</v>
      </c>
      <c r="S133">
        <f t="shared" si="17"/>
        <v>1</v>
      </c>
      <c r="T133">
        <f t="shared" si="18"/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 s="5">
        <f t="shared" si="14"/>
        <v>1</v>
      </c>
      <c r="P134" s="5">
        <f t="shared" si="13"/>
        <v>0</v>
      </c>
      <c r="Q134">
        <f t="shared" si="15"/>
        <v>0</v>
      </c>
      <c r="R134">
        <f t="shared" si="16"/>
        <v>0</v>
      </c>
      <c r="S134">
        <f t="shared" si="17"/>
        <v>1</v>
      </c>
      <c r="T134">
        <f t="shared" si="18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 s="7">
        <v>3.9</v>
      </c>
      <c r="M135">
        <v>400831.65</v>
      </c>
      <c r="N135">
        <v>70979.31</v>
      </c>
      <c r="O135" s="5">
        <f t="shared" si="14"/>
        <v>1</v>
      </c>
      <c r="P135" s="5">
        <f t="shared" si="13"/>
        <v>0</v>
      </c>
      <c r="Q135">
        <f t="shared" si="15"/>
        <v>0</v>
      </c>
      <c r="R135">
        <f t="shared" si="16"/>
        <v>0</v>
      </c>
      <c r="S135">
        <f t="shared" si="17"/>
        <v>1</v>
      </c>
      <c r="T135">
        <f t="shared" si="18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 s="5">
        <f t="shared" si="14"/>
        <v>1</v>
      </c>
      <c r="P136" s="5">
        <f t="shared" si="13"/>
        <v>0</v>
      </c>
      <c r="Q136">
        <f t="shared" si="15"/>
        <v>0</v>
      </c>
      <c r="R136">
        <f t="shared" si="16"/>
        <v>0</v>
      </c>
      <c r="S136">
        <f t="shared" si="17"/>
        <v>1</v>
      </c>
      <c r="T136">
        <f t="shared" si="18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 s="5">
        <f t="shared" si="14"/>
        <v>1</v>
      </c>
      <c r="P137" s="5">
        <f t="shared" ref="P137:P187" si="19">IF($C137="South",1,0)</f>
        <v>0</v>
      </c>
      <c r="Q137">
        <f t="shared" si="15"/>
        <v>0</v>
      </c>
      <c r="R137">
        <f t="shared" si="16"/>
        <v>0</v>
      </c>
      <c r="S137">
        <f t="shared" si="17"/>
        <v>1</v>
      </c>
      <c r="T137">
        <f t="shared" si="18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 s="7">
        <v>3.9</v>
      </c>
      <c r="M138">
        <v>633638.03</v>
      </c>
      <c r="N138">
        <v>99402.01</v>
      </c>
      <c r="O138" s="5">
        <f t="shared" si="14"/>
        <v>0</v>
      </c>
      <c r="P138" s="5">
        <f t="shared" si="19"/>
        <v>1</v>
      </c>
      <c r="Q138">
        <f t="shared" si="15"/>
        <v>0</v>
      </c>
      <c r="R138">
        <f t="shared" si="16"/>
        <v>0</v>
      </c>
      <c r="S138">
        <f t="shared" si="17"/>
        <v>0</v>
      </c>
      <c r="T138">
        <f t="shared" si="18"/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 s="5">
        <f t="shared" si="14"/>
        <v>0</v>
      </c>
      <c r="P139" s="5">
        <f t="shared" si="19"/>
        <v>1</v>
      </c>
      <c r="Q139">
        <f t="shared" si="15"/>
        <v>0</v>
      </c>
      <c r="R139">
        <f t="shared" si="16"/>
        <v>0</v>
      </c>
      <c r="S139">
        <f t="shared" si="17"/>
        <v>0</v>
      </c>
      <c r="T139">
        <f t="shared" si="18"/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 s="5">
        <f t="shared" si="14"/>
        <v>0</v>
      </c>
      <c r="P140" s="5">
        <f t="shared" si="19"/>
        <v>1</v>
      </c>
      <c r="Q140">
        <f t="shared" si="15"/>
        <v>0</v>
      </c>
      <c r="R140">
        <f t="shared" si="16"/>
        <v>0</v>
      </c>
      <c r="S140">
        <f t="shared" si="17"/>
        <v>0</v>
      </c>
      <c r="T140">
        <f t="shared" si="18"/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 s="5">
        <f t="shared" si="14"/>
        <v>0</v>
      </c>
      <c r="P141" s="5">
        <f t="shared" si="19"/>
        <v>1</v>
      </c>
      <c r="Q141">
        <f t="shared" si="15"/>
        <v>0</v>
      </c>
      <c r="R141">
        <f t="shared" si="16"/>
        <v>0</v>
      </c>
      <c r="S141">
        <f t="shared" si="17"/>
        <v>0</v>
      </c>
      <c r="T141">
        <f t="shared" si="18"/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 s="5">
        <f t="shared" si="14"/>
        <v>0</v>
      </c>
      <c r="P142" s="5">
        <f t="shared" si="19"/>
        <v>0</v>
      </c>
      <c r="Q142">
        <f t="shared" si="15"/>
        <v>1</v>
      </c>
      <c r="R142">
        <f t="shared" si="16"/>
        <v>0</v>
      </c>
      <c r="S142">
        <f t="shared" si="17"/>
        <v>1</v>
      </c>
      <c r="T142">
        <f t="shared" si="18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 s="5">
        <f t="shared" si="14"/>
        <v>0</v>
      </c>
      <c r="P143" s="5">
        <f t="shared" si="19"/>
        <v>0</v>
      </c>
      <c r="Q143">
        <f t="shared" si="15"/>
        <v>1</v>
      </c>
      <c r="R143">
        <f t="shared" si="16"/>
        <v>0</v>
      </c>
      <c r="S143">
        <f t="shared" si="17"/>
        <v>1</v>
      </c>
      <c r="T143">
        <f t="shared" si="18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 s="5">
        <f t="shared" si="14"/>
        <v>0</v>
      </c>
      <c r="P144" s="5">
        <f t="shared" si="19"/>
        <v>0</v>
      </c>
      <c r="Q144">
        <f t="shared" si="15"/>
        <v>1</v>
      </c>
      <c r="R144">
        <f t="shared" si="16"/>
        <v>0</v>
      </c>
      <c r="S144">
        <f t="shared" si="17"/>
        <v>1</v>
      </c>
      <c r="T144">
        <f t="shared" si="18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 s="5">
        <f t="shared" si="14"/>
        <v>0</v>
      </c>
      <c r="P145" s="5">
        <f t="shared" si="19"/>
        <v>0</v>
      </c>
      <c r="Q145">
        <f t="shared" si="15"/>
        <v>1</v>
      </c>
      <c r="R145">
        <f t="shared" si="16"/>
        <v>0</v>
      </c>
      <c r="S145">
        <f t="shared" si="17"/>
        <v>1</v>
      </c>
      <c r="T145">
        <f t="shared" si="18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 s="5">
        <f t="shared" si="14"/>
        <v>1</v>
      </c>
      <c r="P146" s="5">
        <f t="shared" si="19"/>
        <v>0</v>
      </c>
      <c r="Q146">
        <f t="shared" si="15"/>
        <v>0</v>
      </c>
      <c r="R146">
        <f t="shared" si="16"/>
        <v>0</v>
      </c>
      <c r="S146">
        <f t="shared" si="17"/>
        <v>0</v>
      </c>
      <c r="T146">
        <f t="shared" si="18"/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 s="5">
        <f t="shared" si="14"/>
        <v>1</v>
      </c>
      <c r="P147" s="5">
        <f t="shared" si="19"/>
        <v>0</v>
      </c>
      <c r="Q147">
        <f t="shared" si="15"/>
        <v>0</v>
      </c>
      <c r="R147">
        <f t="shared" si="16"/>
        <v>0</v>
      </c>
      <c r="S147">
        <f t="shared" si="17"/>
        <v>0</v>
      </c>
      <c r="T147">
        <f t="shared" si="18"/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 s="5">
        <f t="shared" si="14"/>
        <v>1</v>
      </c>
      <c r="P148" s="5">
        <f t="shared" si="19"/>
        <v>0</v>
      </c>
      <c r="Q148">
        <f t="shared" si="15"/>
        <v>0</v>
      </c>
      <c r="R148">
        <f t="shared" si="16"/>
        <v>0</v>
      </c>
      <c r="S148">
        <f t="shared" si="17"/>
        <v>0</v>
      </c>
      <c r="T148">
        <f t="shared" si="18"/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 s="5">
        <f t="shared" si="14"/>
        <v>1</v>
      </c>
      <c r="P149" s="5">
        <f t="shared" si="19"/>
        <v>0</v>
      </c>
      <c r="Q149">
        <f t="shared" si="15"/>
        <v>0</v>
      </c>
      <c r="R149">
        <f t="shared" si="16"/>
        <v>0</v>
      </c>
      <c r="S149">
        <f t="shared" si="17"/>
        <v>0</v>
      </c>
      <c r="T149">
        <f t="shared" si="18"/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 s="5">
        <f t="shared" si="14"/>
        <v>0</v>
      </c>
      <c r="P150" s="5">
        <f t="shared" si="19"/>
        <v>1</v>
      </c>
      <c r="Q150">
        <f t="shared" si="15"/>
        <v>0</v>
      </c>
      <c r="R150">
        <f t="shared" si="16"/>
        <v>0</v>
      </c>
      <c r="S150">
        <f t="shared" si="17"/>
        <v>0</v>
      </c>
      <c r="T150">
        <f t="shared" si="18"/>
        <v>1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 s="5">
        <f t="shared" si="14"/>
        <v>0</v>
      </c>
      <c r="P151" s="5">
        <f t="shared" si="19"/>
        <v>1</v>
      </c>
      <c r="Q151">
        <f t="shared" si="15"/>
        <v>0</v>
      </c>
      <c r="R151">
        <f t="shared" si="16"/>
        <v>0</v>
      </c>
      <c r="S151">
        <f t="shared" si="17"/>
        <v>0</v>
      </c>
      <c r="T151">
        <f t="shared" si="18"/>
        <v>1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 s="5">
        <f t="shared" si="14"/>
        <v>0</v>
      </c>
      <c r="P152" s="5">
        <f t="shared" si="19"/>
        <v>1</v>
      </c>
      <c r="Q152">
        <f t="shared" si="15"/>
        <v>0</v>
      </c>
      <c r="R152">
        <f t="shared" si="16"/>
        <v>0</v>
      </c>
      <c r="S152">
        <f t="shared" si="17"/>
        <v>0</v>
      </c>
      <c r="T152">
        <f t="shared" si="18"/>
        <v>1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 s="5">
        <f t="shared" si="14"/>
        <v>0</v>
      </c>
      <c r="P153" s="5">
        <f t="shared" si="19"/>
        <v>1</v>
      </c>
      <c r="Q153">
        <f t="shared" si="15"/>
        <v>0</v>
      </c>
      <c r="R153">
        <f t="shared" si="16"/>
        <v>0</v>
      </c>
      <c r="S153">
        <f t="shared" si="17"/>
        <v>0</v>
      </c>
      <c r="T153">
        <f t="shared" si="18"/>
        <v>1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 s="5">
        <f t="shared" si="14"/>
        <v>0</v>
      </c>
      <c r="P154" s="5">
        <f t="shared" si="19"/>
        <v>0</v>
      </c>
      <c r="Q154">
        <f t="shared" si="15"/>
        <v>0</v>
      </c>
      <c r="R154">
        <f t="shared" si="16"/>
        <v>0</v>
      </c>
      <c r="S154">
        <f t="shared" si="17"/>
        <v>1</v>
      </c>
      <c r="T154">
        <f t="shared" si="18"/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 s="5">
        <f t="shared" si="14"/>
        <v>0</v>
      </c>
      <c r="P155" s="5">
        <f t="shared" si="19"/>
        <v>0</v>
      </c>
      <c r="Q155">
        <f t="shared" si="15"/>
        <v>0</v>
      </c>
      <c r="R155">
        <f t="shared" si="16"/>
        <v>0</v>
      </c>
      <c r="S155">
        <f t="shared" si="17"/>
        <v>1</v>
      </c>
      <c r="T155">
        <f t="shared" si="18"/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 s="5">
        <f t="shared" si="14"/>
        <v>0</v>
      </c>
      <c r="P156" s="5">
        <f t="shared" si="19"/>
        <v>0</v>
      </c>
      <c r="Q156">
        <f t="shared" si="15"/>
        <v>0</v>
      </c>
      <c r="R156">
        <f t="shared" si="16"/>
        <v>0</v>
      </c>
      <c r="S156">
        <f t="shared" si="17"/>
        <v>1</v>
      </c>
      <c r="T156">
        <f t="shared" si="18"/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 s="5">
        <f t="shared" si="14"/>
        <v>0</v>
      </c>
      <c r="P157" s="5">
        <f t="shared" si="19"/>
        <v>0</v>
      </c>
      <c r="Q157">
        <f t="shared" si="15"/>
        <v>0</v>
      </c>
      <c r="R157">
        <f t="shared" si="16"/>
        <v>0</v>
      </c>
      <c r="S157">
        <f t="shared" si="17"/>
        <v>1</v>
      </c>
      <c r="T157">
        <f t="shared" si="18"/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 s="5">
        <f t="shared" si="14"/>
        <v>1</v>
      </c>
      <c r="P158" s="5">
        <f t="shared" si="19"/>
        <v>0</v>
      </c>
      <c r="Q158">
        <f t="shared" si="15"/>
        <v>0</v>
      </c>
      <c r="R158">
        <f t="shared" si="16"/>
        <v>0</v>
      </c>
      <c r="S158">
        <f t="shared" si="17"/>
        <v>0</v>
      </c>
      <c r="T158">
        <f t="shared" si="18"/>
        <v>1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 s="5">
        <f t="shared" si="14"/>
        <v>1</v>
      </c>
      <c r="P159" s="5">
        <f t="shared" si="19"/>
        <v>0</v>
      </c>
      <c r="Q159">
        <f t="shared" si="15"/>
        <v>0</v>
      </c>
      <c r="R159">
        <f t="shared" si="16"/>
        <v>0</v>
      </c>
      <c r="S159">
        <f t="shared" si="17"/>
        <v>0</v>
      </c>
      <c r="T159">
        <f t="shared" si="18"/>
        <v>1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 s="5">
        <f t="shared" si="14"/>
        <v>1</v>
      </c>
      <c r="P160" s="5">
        <f t="shared" si="19"/>
        <v>0</v>
      </c>
      <c r="Q160">
        <f t="shared" si="15"/>
        <v>0</v>
      </c>
      <c r="R160">
        <f t="shared" si="16"/>
        <v>0</v>
      </c>
      <c r="S160">
        <f t="shared" si="17"/>
        <v>0</v>
      </c>
      <c r="T160">
        <f t="shared" si="18"/>
        <v>1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 s="5">
        <f t="shared" si="14"/>
        <v>1</v>
      </c>
      <c r="P161" s="5">
        <f t="shared" si="19"/>
        <v>0</v>
      </c>
      <c r="Q161">
        <f t="shared" si="15"/>
        <v>0</v>
      </c>
      <c r="R161">
        <f t="shared" si="16"/>
        <v>0</v>
      </c>
      <c r="S161">
        <f t="shared" si="17"/>
        <v>0</v>
      </c>
      <c r="T161">
        <f t="shared" si="18"/>
        <v>1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 s="5">
        <f t="shared" si="14"/>
        <v>0</v>
      </c>
      <c r="P162" s="5">
        <f t="shared" si="19"/>
        <v>1</v>
      </c>
      <c r="Q162">
        <f t="shared" si="15"/>
        <v>0</v>
      </c>
      <c r="R162">
        <f t="shared" si="16"/>
        <v>0</v>
      </c>
      <c r="S162">
        <f t="shared" si="17"/>
        <v>1</v>
      </c>
      <c r="T162">
        <f t="shared" si="18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 s="5">
        <f t="shared" si="14"/>
        <v>0</v>
      </c>
      <c r="P163" s="5">
        <f t="shared" si="19"/>
        <v>1</v>
      </c>
      <c r="Q163">
        <f t="shared" si="15"/>
        <v>0</v>
      </c>
      <c r="R163">
        <f t="shared" si="16"/>
        <v>0</v>
      </c>
      <c r="S163">
        <f t="shared" si="17"/>
        <v>1</v>
      </c>
      <c r="T163">
        <f t="shared" si="18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 s="6">
        <v>4.5999999999999996</v>
      </c>
      <c r="K164">
        <v>0</v>
      </c>
      <c r="L164">
        <v>4.2</v>
      </c>
      <c r="M164">
        <v>677096.71</v>
      </c>
      <c r="N164">
        <v>97174.11</v>
      </c>
      <c r="O164" s="5">
        <f t="shared" si="14"/>
        <v>0</v>
      </c>
      <c r="P164" s="5">
        <f t="shared" si="19"/>
        <v>1</v>
      </c>
      <c r="Q164">
        <f t="shared" si="15"/>
        <v>0</v>
      </c>
      <c r="R164">
        <f t="shared" si="16"/>
        <v>0</v>
      </c>
      <c r="S164">
        <f t="shared" si="17"/>
        <v>1</v>
      </c>
      <c r="T164">
        <f t="shared" si="18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 s="5">
        <f t="shared" si="14"/>
        <v>0</v>
      </c>
      <c r="P165" s="5">
        <f t="shared" si="19"/>
        <v>1</v>
      </c>
      <c r="Q165">
        <f t="shared" si="15"/>
        <v>0</v>
      </c>
      <c r="R165">
        <f t="shared" si="16"/>
        <v>0</v>
      </c>
      <c r="S165">
        <f t="shared" si="17"/>
        <v>1</v>
      </c>
      <c r="T165">
        <f t="shared" si="18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 s="5">
        <f t="shared" si="14"/>
        <v>1</v>
      </c>
      <c r="P166" s="5">
        <f t="shared" si="19"/>
        <v>0</v>
      </c>
      <c r="Q166">
        <f t="shared" si="15"/>
        <v>0</v>
      </c>
      <c r="R166">
        <f t="shared" si="16"/>
        <v>0</v>
      </c>
      <c r="S166">
        <f t="shared" si="17"/>
        <v>0</v>
      </c>
      <c r="T166">
        <f t="shared" si="18"/>
        <v>1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 s="5">
        <f t="shared" si="14"/>
        <v>1</v>
      </c>
      <c r="P167" s="5">
        <f t="shared" si="19"/>
        <v>0</v>
      </c>
      <c r="Q167">
        <f t="shared" si="15"/>
        <v>0</v>
      </c>
      <c r="R167">
        <f t="shared" si="16"/>
        <v>0</v>
      </c>
      <c r="S167">
        <f t="shared" si="17"/>
        <v>0</v>
      </c>
      <c r="T167">
        <f t="shared" si="18"/>
        <v>1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 s="5">
        <f t="shared" si="14"/>
        <v>1</v>
      </c>
      <c r="P168" s="5">
        <f t="shared" si="19"/>
        <v>0</v>
      </c>
      <c r="Q168">
        <f t="shared" si="15"/>
        <v>0</v>
      </c>
      <c r="R168">
        <f t="shared" si="16"/>
        <v>0</v>
      </c>
      <c r="S168">
        <f t="shared" si="17"/>
        <v>0</v>
      </c>
      <c r="T168">
        <f t="shared" si="18"/>
        <v>1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 s="5">
        <f t="shared" si="14"/>
        <v>1</v>
      </c>
      <c r="P169" s="5">
        <f t="shared" si="19"/>
        <v>0</v>
      </c>
      <c r="Q169">
        <f t="shared" si="15"/>
        <v>0</v>
      </c>
      <c r="R169">
        <f t="shared" si="16"/>
        <v>0</v>
      </c>
      <c r="S169">
        <f t="shared" si="17"/>
        <v>0</v>
      </c>
      <c r="T169">
        <f t="shared" si="18"/>
        <v>1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 s="5">
        <f t="shared" si="14"/>
        <v>0</v>
      </c>
      <c r="P170" s="5">
        <f t="shared" si="19"/>
        <v>0</v>
      </c>
      <c r="Q170">
        <f t="shared" si="15"/>
        <v>0</v>
      </c>
      <c r="R170">
        <f t="shared" si="16"/>
        <v>0</v>
      </c>
      <c r="S170">
        <f t="shared" si="17"/>
        <v>0</v>
      </c>
      <c r="T170">
        <f t="shared" si="18"/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 s="5">
        <f t="shared" si="14"/>
        <v>0</v>
      </c>
      <c r="P171" s="5">
        <f t="shared" si="19"/>
        <v>0</v>
      </c>
      <c r="Q171">
        <f t="shared" si="15"/>
        <v>0</v>
      </c>
      <c r="R171">
        <f t="shared" si="16"/>
        <v>0</v>
      </c>
      <c r="S171">
        <f t="shared" si="17"/>
        <v>0</v>
      </c>
      <c r="T171">
        <f t="shared" si="18"/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 s="5">
        <f t="shared" si="14"/>
        <v>0</v>
      </c>
      <c r="P172" s="5">
        <f t="shared" si="19"/>
        <v>0</v>
      </c>
      <c r="Q172">
        <f t="shared" si="15"/>
        <v>0</v>
      </c>
      <c r="R172">
        <f t="shared" si="16"/>
        <v>0</v>
      </c>
      <c r="S172">
        <f t="shared" si="17"/>
        <v>0</v>
      </c>
      <c r="T172">
        <f t="shared" si="18"/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 s="5">
        <f t="shared" si="14"/>
        <v>0</v>
      </c>
      <c r="P173" s="5">
        <f t="shared" si="19"/>
        <v>0</v>
      </c>
      <c r="Q173">
        <f t="shared" si="15"/>
        <v>0</v>
      </c>
      <c r="R173">
        <f t="shared" si="16"/>
        <v>0</v>
      </c>
      <c r="S173">
        <f t="shared" si="17"/>
        <v>0</v>
      </c>
      <c r="T173">
        <f t="shared" si="18"/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 s="5">
        <f t="shared" si="14"/>
        <v>0</v>
      </c>
      <c r="P174" s="5">
        <f t="shared" si="19"/>
        <v>0</v>
      </c>
      <c r="Q174">
        <f t="shared" si="15"/>
        <v>0</v>
      </c>
      <c r="R174">
        <f t="shared" si="16"/>
        <v>0</v>
      </c>
      <c r="S174">
        <f t="shared" si="17"/>
        <v>0</v>
      </c>
      <c r="T174">
        <f t="shared" si="18"/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 s="5">
        <f t="shared" si="14"/>
        <v>0</v>
      </c>
      <c r="P175" s="5">
        <f t="shared" si="19"/>
        <v>0</v>
      </c>
      <c r="Q175">
        <f t="shared" si="15"/>
        <v>0</v>
      </c>
      <c r="R175">
        <f t="shared" si="16"/>
        <v>0</v>
      </c>
      <c r="S175">
        <f t="shared" si="17"/>
        <v>0</v>
      </c>
      <c r="T175">
        <f t="shared" si="18"/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 s="5">
        <f t="shared" si="14"/>
        <v>0</v>
      </c>
      <c r="P176" s="5">
        <f t="shared" si="19"/>
        <v>0</v>
      </c>
      <c r="Q176">
        <f t="shared" si="15"/>
        <v>0</v>
      </c>
      <c r="R176">
        <f t="shared" si="16"/>
        <v>0</v>
      </c>
      <c r="S176">
        <f t="shared" si="17"/>
        <v>0</v>
      </c>
      <c r="T176">
        <f t="shared" si="18"/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 s="5">
        <f t="shared" si="14"/>
        <v>0</v>
      </c>
      <c r="P177" s="5">
        <f t="shared" si="19"/>
        <v>0</v>
      </c>
      <c r="Q177">
        <f t="shared" si="15"/>
        <v>0</v>
      </c>
      <c r="R177">
        <f t="shared" si="16"/>
        <v>0</v>
      </c>
      <c r="S177">
        <f t="shared" si="17"/>
        <v>0</v>
      </c>
      <c r="T177">
        <f t="shared" si="18"/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 s="5">
        <f t="shared" si="14"/>
        <v>0</v>
      </c>
      <c r="P178" s="5">
        <f t="shared" si="19"/>
        <v>0</v>
      </c>
      <c r="Q178">
        <f t="shared" si="15"/>
        <v>1</v>
      </c>
      <c r="R178">
        <f t="shared" si="16"/>
        <v>1</v>
      </c>
      <c r="S178">
        <f t="shared" si="17"/>
        <v>0</v>
      </c>
      <c r="T178">
        <f t="shared" si="18"/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 s="5">
        <f t="shared" si="14"/>
        <v>0</v>
      </c>
      <c r="P179" s="5">
        <f t="shared" si="19"/>
        <v>0</v>
      </c>
      <c r="Q179">
        <f t="shared" si="15"/>
        <v>1</v>
      </c>
      <c r="R179">
        <f t="shared" si="16"/>
        <v>1</v>
      </c>
      <c r="S179">
        <f t="shared" si="17"/>
        <v>0</v>
      </c>
      <c r="T179">
        <f t="shared" si="18"/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 s="5">
        <f t="shared" si="14"/>
        <v>0</v>
      </c>
      <c r="P180" s="5">
        <f t="shared" si="19"/>
        <v>0</v>
      </c>
      <c r="Q180">
        <f t="shared" si="15"/>
        <v>1</v>
      </c>
      <c r="R180">
        <f t="shared" si="16"/>
        <v>1</v>
      </c>
      <c r="S180">
        <f t="shared" si="17"/>
        <v>0</v>
      </c>
      <c r="T180">
        <f t="shared" si="18"/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 s="5">
        <f t="shared" si="14"/>
        <v>0</v>
      </c>
      <c r="P181" s="5">
        <f t="shared" si="19"/>
        <v>0</v>
      </c>
      <c r="Q181">
        <f t="shared" si="15"/>
        <v>1</v>
      </c>
      <c r="R181">
        <f t="shared" si="16"/>
        <v>1</v>
      </c>
      <c r="S181">
        <f t="shared" si="17"/>
        <v>0</v>
      </c>
      <c r="T181">
        <f t="shared" si="18"/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 s="5">
        <f t="shared" si="14"/>
        <v>0</v>
      </c>
      <c r="P182" s="5">
        <f t="shared" si="19"/>
        <v>0</v>
      </c>
      <c r="Q182">
        <f t="shared" si="15"/>
        <v>1</v>
      </c>
      <c r="R182">
        <f t="shared" si="16"/>
        <v>0</v>
      </c>
      <c r="S182">
        <f t="shared" si="17"/>
        <v>0</v>
      </c>
      <c r="T182">
        <f t="shared" si="18"/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 s="5">
        <f t="shared" si="14"/>
        <v>0</v>
      </c>
      <c r="P183" s="5">
        <f t="shared" si="19"/>
        <v>0</v>
      </c>
      <c r="Q183">
        <f t="shared" si="15"/>
        <v>1</v>
      </c>
      <c r="R183">
        <f t="shared" si="16"/>
        <v>0</v>
      </c>
      <c r="S183">
        <f t="shared" si="17"/>
        <v>0</v>
      </c>
      <c r="T183">
        <f t="shared" si="18"/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 s="5">
        <f t="shared" si="14"/>
        <v>0</v>
      </c>
      <c r="P184" s="5">
        <f t="shared" si="19"/>
        <v>0</v>
      </c>
      <c r="Q184">
        <f t="shared" si="15"/>
        <v>1</v>
      </c>
      <c r="R184">
        <f t="shared" si="16"/>
        <v>0</v>
      </c>
      <c r="S184">
        <f t="shared" si="17"/>
        <v>0</v>
      </c>
      <c r="T184">
        <f t="shared" si="18"/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 s="5">
        <f t="shared" si="14"/>
        <v>0</v>
      </c>
      <c r="P185" s="5">
        <f t="shared" si="19"/>
        <v>0</v>
      </c>
      <c r="Q185">
        <f t="shared" si="15"/>
        <v>1</v>
      </c>
      <c r="R185">
        <f t="shared" si="16"/>
        <v>0</v>
      </c>
      <c r="S185">
        <f t="shared" si="17"/>
        <v>0</v>
      </c>
      <c r="T185">
        <f t="shared" si="18"/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 s="5">
        <f t="shared" si="14"/>
        <v>1</v>
      </c>
      <c r="P186" s="5">
        <f t="shared" si="19"/>
        <v>0</v>
      </c>
      <c r="Q186">
        <f t="shared" si="15"/>
        <v>0</v>
      </c>
      <c r="R186">
        <f t="shared" si="16"/>
        <v>0</v>
      </c>
      <c r="S186">
        <f t="shared" si="17"/>
        <v>1</v>
      </c>
      <c r="T186">
        <f t="shared" si="18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 s="5">
        <f t="shared" si="14"/>
        <v>1</v>
      </c>
      <c r="P187" s="5">
        <f t="shared" si="19"/>
        <v>0</v>
      </c>
      <c r="Q187">
        <f t="shared" si="15"/>
        <v>0</v>
      </c>
      <c r="R187">
        <f t="shared" si="16"/>
        <v>0</v>
      </c>
      <c r="S187">
        <f t="shared" si="17"/>
        <v>1</v>
      </c>
      <c r="T187">
        <f t="shared" si="18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 s="5">
        <f t="shared" si="14"/>
        <v>1</v>
      </c>
      <c r="P188" s="5">
        <f t="shared" ref="P188:P238" si="20">IF($C188="South",1,0)</f>
        <v>0</v>
      </c>
      <c r="Q188">
        <f t="shared" si="15"/>
        <v>0</v>
      </c>
      <c r="R188">
        <f t="shared" si="16"/>
        <v>0</v>
      </c>
      <c r="S188">
        <f t="shared" si="17"/>
        <v>1</v>
      </c>
      <c r="T188">
        <f t="shared" si="18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 s="5">
        <f t="shared" si="14"/>
        <v>1</v>
      </c>
      <c r="P189" s="5">
        <f t="shared" si="20"/>
        <v>0</v>
      </c>
      <c r="Q189">
        <f t="shared" si="15"/>
        <v>0</v>
      </c>
      <c r="R189">
        <f t="shared" si="16"/>
        <v>0</v>
      </c>
      <c r="S189">
        <f t="shared" si="17"/>
        <v>1</v>
      </c>
      <c r="T189">
        <f t="shared" si="18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 s="5">
        <f t="shared" si="14"/>
        <v>0</v>
      </c>
      <c r="P190" s="5">
        <f t="shared" si="20"/>
        <v>0</v>
      </c>
      <c r="Q190">
        <f t="shared" si="15"/>
        <v>0</v>
      </c>
      <c r="R190">
        <f t="shared" si="16"/>
        <v>0</v>
      </c>
      <c r="S190">
        <f t="shared" si="17"/>
        <v>1</v>
      </c>
      <c r="T190">
        <f t="shared" si="18"/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 s="5">
        <f t="shared" si="14"/>
        <v>0</v>
      </c>
      <c r="P191" s="5">
        <f t="shared" si="20"/>
        <v>0</v>
      </c>
      <c r="Q191">
        <f t="shared" si="15"/>
        <v>0</v>
      </c>
      <c r="R191">
        <f t="shared" si="16"/>
        <v>0</v>
      </c>
      <c r="S191">
        <f t="shared" si="17"/>
        <v>1</v>
      </c>
      <c r="T191">
        <f t="shared" si="18"/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 s="5">
        <f t="shared" si="14"/>
        <v>0</v>
      </c>
      <c r="P192" s="5">
        <f t="shared" si="20"/>
        <v>0</v>
      </c>
      <c r="Q192">
        <f t="shared" si="15"/>
        <v>0</v>
      </c>
      <c r="R192">
        <f t="shared" si="16"/>
        <v>0</v>
      </c>
      <c r="S192">
        <f t="shared" si="17"/>
        <v>1</v>
      </c>
      <c r="T192">
        <f t="shared" si="18"/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 s="5">
        <f t="shared" si="14"/>
        <v>0</v>
      </c>
      <c r="P193" s="5">
        <f t="shared" si="20"/>
        <v>0</v>
      </c>
      <c r="Q193">
        <f t="shared" si="15"/>
        <v>0</v>
      </c>
      <c r="R193">
        <f t="shared" si="16"/>
        <v>0</v>
      </c>
      <c r="S193">
        <f t="shared" si="17"/>
        <v>1</v>
      </c>
      <c r="T193">
        <f t="shared" si="18"/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 s="5">
        <f t="shared" si="14"/>
        <v>0</v>
      </c>
      <c r="P194" s="5">
        <f t="shared" si="20"/>
        <v>0</v>
      </c>
      <c r="Q194">
        <f t="shared" si="15"/>
        <v>1</v>
      </c>
      <c r="R194">
        <f t="shared" si="16"/>
        <v>0</v>
      </c>
      <c r="S194">
        <f t="shared" si="17"/>
        <v>0</v>
      </c>
      <c r="T194">
        <f t="shared" si="18"/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 s="5">
        <f t="shared" ref="O195:O258" si="21">IF($C195="North",1,0)</f>
        <v>0</v>
      </c>
      <c r="P195" s="5">
        <f t="shared" si="20"/>
        <v>0</v>
      </c>
      <c r="Q195">
        <f t="shared" ref="Q195:Q258" si="22">IF($C195="West",1,0)</f>
        <v>1</v>
      </c>
      <c r="R195">
        <f t="shared" ref="R195:R258" si="23">IF($D195="Airport",1,0)</f>
        <v>0</v>
      </c>
      <c r="S195">
        <f t="shared" ref="S195:S258" si="24">IF($D195="High Street",1,0)</f>
        <v>0</v>
      </c>
      <c r="T195">
        <f t="shared" ref="T195:T258" si="25">IF($D195="Mall",1,0)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 s="5">
        <f t="shared" si="21"/>
        <v>0</v>
      </c>
      <c r="P196" s="5">
        <f t="shared" si="20"/>
        <v>0</v>
      </c>
      <c r="Q196">
        <f t="shared" si="22"/>
        <v>1</v>
      </c>
      <c r="R196">
        <f t="shared" si="23"/>
        <v>0</v>
      </c>
      <c r="S196">
        <f t="shared" si="24"/>
        <v>0</v>
      </c>
      <c r="T196">
        <f t="shared" si="25"/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 s="7">
        <v>3.9</v>
      </c>
      <c r="M197">
        <v>449465.06</v>
      </c>
      <c r="N197">
        <v>65694.78</v>
      </c>
      <c r="O197" s="5">
        <f t="shared" si="21"/>
        <v>0</v>
      </c>
      <c r="P197" s="5">
        <f t="shared" si="20"/>
        <v>0</v>
      </c>
      <c r="Q197">
        <f t="shared" si="22"/>
        <v>1</v>
      </c>
      <c r="R197">
        <f t="shared" si="23"/>
        <v>0</v>
      </c>
      <c r="S197">
        <f t="shared" si="24"/>
        <v>0</v>
      </c>
      <c r="T197">
        <f t="shared" si="25"/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 s="5">
        <f t="shared" si="21"/>
        <v>1</v>
      </c>
      <c r="P198" s="5">
        <f t="shared" si="20"/>
        <v>0</v>
      </c>
      <c r="Q198">
        <f t="shared" si="22"/>
        <v>0</v>
      </c>
      <c r="R198">
        <f t="shared" si="23"/>
        <v>0</v>
      </c>
      <c r="S198">
        <f t="shared" si="24"/>
        <v>0</v>
      </c>
      <c r="T198">
        <f t="shared" si="25"/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 s="5">
        <f t="shared" si="21"/>
        <v>1</v>
      </c>
      <c r="P199" s="5">
        <f t="shared" si="20"/>
        <v>0</v>
      </c>
      <c r="Q199">
        <f t="shared" si="22"/>
        <v>0</v>
      </c>
      <c r="R199">
        <f t="shared" si="23"/>
        <v>0</v>
      </c>
      <c r="S199">
        <f t="shared" si="24"/>
        <v>0</v>
      </c>
      <c r="T199">
        <f t="shared" si="25"/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 s="5">
        <f t="shared" si="21"/>
        <v>1</v>
      </c>
      <c r="P200" s="5">
        <f t="shared" si="20"/>
        <v>0</v>
      </c>
      <c r="Q200">
        <f t="shared" si="22"/>
        <v>0</v>
      </c>
      <c r="R200">
        <f t="shared" si="23"/>
        <v>0</v>
      </c>
      <c r="S200">
        <f t="shared" si="24"/>
        <v>0</v>
      </c>
      <c r="T200">
        <f t="shared" si="25"/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 s="5">
        <f t="shared" si="21"/>
        <v>1</v>
      </c>
      <c r="P201" s="5">
        <f t="shared" si="20"/>
        <v>0</v>
      </c>
      <c r="Q201">
        <f t="shared" si="22"/>
        <v>0</v>
      </c>
      <c r="R201">
        <f t="shared" si="23"/>
        <v>0</v>
      </c>
      <c r="S201">
        <f t="shared" si="24"/>
        <v>0</v>
      </c>
      <c r="T201">
        <f t="shared" si="25"/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 s="5">
        <f t="shared" si="21"/>
        <v>0</v>
      </c>
      <c r="P202" s="5">
        <f t="shared" si="20"/>
        <v>0</v>
      </c>
      <c r="Q202">
        <f t="shared" si="22"/>
        <v>0</v>
      </c>
      <c r="R202">
        <f t="shared" si="23"/>
        <v>1</v>
      </c>
      <c r="S202">
        <f t="shared" si="24"/>
        <v>0</v>
      </c>
      <c r="T202">
        <f t="shared" si="25"/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 s="5">
        <f t="shared" si="21"/>
        <v>0</v>
      </c>
      <c r="P203" s="5">
        <f t="shared" si="20"/>
        <v>0</v>
      </c>
      <c r="Q203">
        <f t="shared" si="22"/>
        <v>0</v>
      </c>
      <c r="R203">
        <f t="shared" si="23"/>
        <v>1</v>
      </c>
      <c r="S203">
        <f t="shared" si="24"/>
        <v>0</v>
      </c>
      <c r="T203">
        <f t="shared" si="25"/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 s="5">
        <f t="shared" si="21"/>
        <v>0</v>
      </c>
      <c r="P204" s="5">
        <f t="shared" si="20"/>
        <v>0</v>
      </c>
      <c r="Q204">
        <f t="shared" si="22"/>
        <v>0</v>
      </c>
      <c r="R204">
        <f t="shared" si="23"/>
        <v>1</v>
      </c>
      <c r="S204">
        <f t="shared" si="24"/>
        <v>0</v>
      </c>
      <c r="T204">
        <f t="shared" si="25"/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 s="5">
        <f t="shared" si="21"/>
        <v>0</v>
      </c>
      <c r="P205" s="5">
        <f t="shared" si="20"/>
        <v>0</v>
      </c>
      <c r="Q205">
        <f t="shared" si="22"/>
        <v>0</v>
      </c>
      <c r="R205">
        <f t="shared" si="23"/>
        <v>1</v>
      </c>
      <c r="S205">
        <f t="shared" si="24"/>
        <v>0</v>
      </c>
      <c r="T205">
        <f t="shared" si="25"/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 s="5">
        <f t="shared" si="21"/>
        <v>0</v>
      </c>
      <c r="P206" s="5">
        <f t="shared" si="20"/>
        <v>0</v>
      </c>
      <c r="Q206">
        <f t="shared" si="22"/>
        <v>0</v>
      </c>
      <c r="R206">
        <f t="shared" si="23"/>
        <v>0</v>
      </c>
      <c r="S206">
        <f t="shared" si="24"/>
        <v>0</v>
      </c>
      <c r="T206">
        <f t="shared" si="25"/>
        <v>1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 s="5">
        <f t="shared" si="21"/>
        <v>0</v>
      </c>
      <c r="P207" s="5">
        <f t="shared" si="20"/>
        <v>0</v>
      </c>
      <c r="Q207">
        <f t="shared" si="22"/>
        <v>0</v>
      </c>
      <c r="R207">
        <f t="shared" si="23"/>
        <v>0</v>
      </c>
      <c r="S207">
        <f t="shared" si="24"/>
        <v>0</v>
      </c>
      <c r="T207">
        <f t="shared" si="25"/>
        <v>1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 s="5">
        <f t="shared" si="21"/>
        <v>0</v>
      </c>
      <c r="P208" s="5">
        <f t="shared" si="20"/>
        <v>0</v>
      </c>
      <c r="Q208">
        <f t="shared" si="22"/>
        <v>0</v>
      </c>
      <c r="R208">
        <f t="shared" si="23"/>
        <v>0</v>
      </c>
      <c r="S208">
        <f t="shared" si="24"/>
        <v>0</v>
      </c>
      <c r="T208">
        <f t="shared" si="25"/>
        <v>1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 s="5">
        <f t="shared" si="21"/>
        <v>0</v>
      </c>
      <c r="P209" s="5">
        <f t="shared" si="20"/>
        <v>0</v>
      </c>
      <c r="Q209">
        <f t="shared" si="22"/>
        <v>0</v>
      </c>
      <c r="R209">
        <f t="shared" si="23"/>
        <v>0</v>
      </c>
      <c r="S209">
        <f t="shared" si="24"/>
        <v>0</v>
      </c>
      <c r="T209">
        <f t="shared" si="25"/>
        <v>1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 s="5">
        <f t="shared" si="21"/>
        <v>0</v>
      </c>
      <c r="P210" s="5">
        <f t="shared" si="20"/>
        <v>0</v>
      </c>
      <c r="Q210">
        <f t="shared" si="22"/>
        <v>0</v>
      </c>
      <c r="R210">
        <f t="shared" si="23"/>
        <v>0</v>
      </c>
      <c r="S210">
        <f t="shared" si="24"/>
        <v>1</v>
      </c>
      <c r="T210">
        <f t="shared" si="25"/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 s="5">
        <f t="shared" si="21"/>
        <v>0</v>
      </c>
      <c r="P211" s="5">
        <f t="shared" si="20"/>
        <v>0</v>
      </c>
      <c r="Q211">
        <f t="shared" si="22"/>
        <v>0</v>
      </c>
      <c r="R211">
        <f t="shared" si="23"/>
        <v>0</v>
      </c>
      <c r="S211">
        <f t="shared" si="24"/>
        <v>1</v>
      </c>
      <c r="T211">
        <f t="shared" si="25"/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 s="5">
        <f t="shared" si="21"/>
        <v>0</v>
      </c>
      <c r="P212" s="5">
        <f t="shared" si="20"/>
        <v>0</v>
      </c>
      <c r="Q212">
        <f t="shared" si="22"/>
        <v>0</v>
      </c>
      <c r="R212">
        <f t="shared" si="23"/>
        <v>0</v>
      </c>
      <c r="S212">
        <f t="shared" si="24"/>
        <v>1</v>
      </c>
      <c r="T212">
        <f t="shared" si="25"/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 s="5">
        <f t="shared" si="21"/>
        <v>0</v>
      </c>
      <c r="P213" s="5">
        <f t="shared" si="20"/>
        <v>0</v>
      </c>
      <c r="Q213">
        <f t="shared" si="22"/>
        <v>0</v>
      </c>
      <c r="R213">
        <f t="shared" si="23"/>
        <v>0</v>
      </c>
      <c r="S213">
        <f t="shared" si="24"/>
        <v>1</v>
      </c>
      <c r="T213">
        <f t="shared" si="25"/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 s="5">
        <f t="shared" si="21"/>
        <v>0</v>
      </c>
      <c r="P214" s="5">
        <f t="shared" si="20"/>
        <v>0</v>
      </c>
      <c r="Q214">
        <f t="shared" si="22"/>
        <v>1</v>
      </c>
      <c r="R214">
        <f t="shared" si="23"/>
        <v>0</v>
      </c>
      <c r="S214">
        <f t="shared" si="24"/>
        <v>0</v>
      </c>
      <c r="T214">
        <f t="shared" si="25"/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 s="5">
        <f t="shared" si="21"/>
        <v>0</v>
      </c>
      <c r="P215" s="5">
        <f t="shared" si="20"/>
        <v>0</v>
      </c>
      <c r="Q215">
        <f t="shared" si="22"/>
        <v>1</v>
      </c>
      <c r="R215">
        <f t="shared" si="23"/>
        <v>0</v>
      </c>
      <c r="S215">
        <f t="shared" si="24"/>
        <v>0</v>
      </c>
      <c r="T215">
        <f t="shared" si="25"/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 s="5">
        <f t="shared" si="21"/>
        <v>0</v>
      </c>
      <c r="P216" s="5">
        <f t="shared" si="20"/>
        <v>0</v>
      </c>
      <c r="Q216">
        <f t="shared" si="22"/>
        <v>1</v>
      </c>
      <c r="R216">
        <f t="shared" si="23"/>
        <v>0</v>
      </c>
      <c r="S216">
        <f t="shared" si="24"/>
        <v>0</v>
      </c>
      <c r="T216">
        <f t="shared" si="25"/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 s="5">
        <f t="shared" si="21"/>
        <v>0</v>
      </c>
      <c r="P217" s="5">
        <f t="shared" si="20"/>
        <v>0</v>
      </c>
      <c r="Q217">
        <f t="shared" si="22"/>
        <v>1</v>
      </c>
      <c r="R217">
        <f t="shared" si="23"/>
        <v>0</v>
      </c>
      <c r="S217">
        <f t="shared" si="24"/>
        <v>0</v>
      </c>
      <c r="T217">
        <f t="shared" si="25"/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 s="5">
        <f t="shared" si="21"/>
        <v>1</v>
      </c>
      <c r="P218" s="5">
        <f t="shared" si="20"/>
        <v>0</v>
      </c>
      <c r="Q218">
        <f t="shared" si="22"/>
        <v>0</v>
      </c>
      <c r="R218">
        <f t="shared" si="23"/>
        <v>1</v>
      </c>
      <c r="S218">
        <f t="shared" si="24"/>
        <v>0</v>
      </c>
      <c r="T218">
        <f t="shared" si="25"/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 s="5">
        <f t="shared" si="21"/>
        <v>1</v>
      </c>
      <c r="P219" s="5">
        <f t="shared" si="20"/>
        <v>0</v>
      </c>
      <c r="Q219">
        <f t="shared" si="22"/>
        <v>0</v>
      </c>
      <c r="R219">
        <f t="shared" si="23"/>
        <v>1</v>
      </c>
      <c r="S219">
        <f t="shared" si="24"/>
        <v>0</v>
      </c>
      <c r="T219">
        <f t="shared" si="25"/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 s="5">
        <f t="shared" si="21"/>
        <v>1</v>
      </c>
      <c r="P220" s="5">
        <f t="shared" si="20"/>
        <v>0</v>
      </c>
      <c r="Q220">
        <f t="shared" si="22"/>
        <v>0</v>
      </c>
      <c r="R220">
        <f t="shared" si="23"/>
        <v>1</v>
      </c>
      <c r="S220">
        <f t="shared" si="24"/>
        <v>0</v>
      </c>
      <c r="T220">
        <f t="shared" si="25"/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 s="5">
        <f t="shared" si="21"/>
        <v>1</v>
      </c>
      <c r="P221" s="5">
        <f t="shared" si="20"/>
        <v>0</v>
      </c>
      <c r="Q221">
        <f t="shared" si="22"/>
        <v>0</v>
      </c>
      <c r="R221">
        <f t="shared" si="23"/>
        <v>1</v>
      </c>
      <c r="S221">
        <f t="shared" si="24"/>
        <v>0</v>
      </c>
      <c r="T221">
        <f t="shared" si="25"/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 s="5">
        <f t="shared" si="21"/>
        <v>0</v>
      </c>
      <c r="P222" s="5">
        <f t="shared" si="20"/>
        <v>0</v>
      </c>
      <c r="Q222">
        <f t="shared" si="22"/>
        <v>0</v>
      </c>
      <c r="R222">
        <f t="shared" si="23"/>
        <v>0</v>
      </c>
      <c r="S222">
        <f t="shared" si="24"/>
        <v>1</v>
      </c>
      <c r="T222">
        <f t="shared" si="25"/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 s="5">
        <f t="shared" si="21"/>
        <v>0</v>
      </c>
      <c r="P223" s="5">
        <f t="shared" si="20"/>
        <v>0</v>
      </c>
      <c r="Q223">
        <f t="shared" si="22"/>
        <v>0</v>
      </c>
      <c r="R223">
        <f t="shared" si="23"/>
        <v>0</v>
      </c>
      <c r="S223">
        <f t="shared" si="24"/>
        <v>1</v>
      </c>
      <c r="T223">
        <f t="shared" si="25"/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 s="5">
        <f t="shared" si="21"/>
        <v>0</v>
      </c>
      <c r="P224" s="5">
        <f t="shared" si="20"/>
        <v>0</v>
      </c>
      <c r="Q224">
        <f t="shared" si="22"/>
        <v>0</v>
      </c>
      <c r="R224">
        <f t="shared" si="23"/>
        <v>0</v>
      </c>
      <c r="S224">
        <f t="shared" si="24"/>
        <v>1</v>
      </c>
      <c r="T224">
        <f t="shared" si="25"/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 s="5">
        <f t="shared" si="21"/>
        <v>0</v>
      </c>
      <c r="P225" s="5">
        <f t="shared" si="20"/>
        <v>0</v>
      </c>
      <c r="Q225">
        <f t="shared" si="22"/>
        <v>0</v>
      </c>
      <c r="R225">
        <f t="shared" si="23"/>
        <v>0</v>
      </c>
      <c r="S225">
        <f t="shared" si="24"/>
        <v>1</v>
      </c>
      <c r="T225">
        <f t="shared" si="25"/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 s="5">
        <f t="shared" si="21"/>
        <v>0</v>
      </c>
      <c r="P226" s="5">
        <f t="shared" si="20"/>
        <v>0</v>
      </c>
      <c r="Q226">
        <f t="shared" si="22"/>
        <v>0</v>
      </c>
      <c r="R226">
        <f t="shared" si="23"/>
        <v>0</v>
      </c>
      <c r="S226">
        <f t="shared" si="24"/>
        <v>0</v>
      </c>
      <c r="T226">
        <f t="shared" si="25"/>
        <v>1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 s="5">
        <f t="shared" si="21"/>
        <v>0</v>
      </c>
      <c r="P227" s="5">
        <f t="shared" si="20"/>
        <v>0</v>
      </c>
      <c r="Q227">
        <f t="shared" si="22"/>
        <v>0</v>
      </c>
      <c r="R227">
        <f t="shared" si="23"/>
        <v>0</v>
      </c>
      <c r="S227">
        <f t="shared" si="24"/>
        <v>0</v>
      </c>
      <c r="T227">
        <f t="shared" si="25"/>
        <v>1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 s="5">
        <f t="shared" si="21"/>
        <v>0</v>
      </c>
      <c r="P228" s="5">
        <f t="shared" si="20"/>
        <v>0</v>
      </c>
      <c r="Q228">
        <f t="shared" si="22"/>
        <v>0</v>
      </c>
      <c r="R228">
        <f t="shared" si="23"/>
        <v>0</v>
      </c>
      <c r="S228">
        <f t="shared" si="24"/>
        <v>0</v>
      </c>
      <c r="T228">
        <f t="shared" si="25"/>
        <v>1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 s="7">
        <v>3.9</v>
      </c>
      <c r="M229">
        <v>529598.93999999994</v>
      </c>
      <c r="N229">
        <v>84334.33</v>
      </c>
      <c r="O229" s="5">
        <f t="shared" si="21"/>
        <v>0</v>
      </c>
      <c r="P229" s="5">
        <f t="shared" si="20"/>
        <v>0</v>
      </c>
      <c r="Q229">
        <f t="shared" si="22"/>
        <v>0</v>
      </c>
      <c r="R229">
        <f t="shared" si="23"/>
        <v>0</v>
      </c>
      <c r="S229">
        <f t="shared" si="24"/>
        <v>0</v>
      </c>
      <c r="T229">
        <f t="shared" si="25"/>
        <v>1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 s="5">
        <f t="shared" si="21"/>
        <v>0</v>
      </c>
      <c r="P230" s="5">
        <f t="shared" si="20"/>
        <v>0</v>
      </c>
      <c r="Q230">
        <f t="shared" si="22"/>
        <v>0</v>
      </c>
      <c r="R230">
        <f t="shared" si="23"/>
        <v>0</v>
      </c>
      <c r="S230">
        <f t="shared" si="24"/>
        <v>1</v>
      </c>
      <c r="T230">
        <f t="shared" si="25"/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 s="5">
        <f t="shared" si="21"/>
        <v>0</v>
      </c>
      <c r="P231" s="5">
        <f t="shared" si="20"/>
        <v>0</v>
      </c>
      <c r="Q231">
        <f t="shared" si="22"/>
        <v>0</v>
      </c>
      <c r="R231">
        <f t="shared" si="23"/>
        <v>0</v>
      </c>
      <c r="S231">
        <f t="shared" si="24"/>
        <v>1</v>
      </c>
      <c r="T231">
        <f t="shared" si="25"/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 s="5">
        <f t="shared" si="21"/>
        <v>0</v>
      </c>
      <c r="P232" s="5">
        <f t="shared" si="20"/>
        <v>0</v>
      </c>
      <c r="Q232">
        <f t="shared" si="22"/>
        <v>0</v>
      </c>
      <c r="R232">
        <f t="shared" si="23"/>
        <v>0</v>
      </c>
      <c r="S232">
        <f t="shared" si="24"/>
        <v>1</v>
      </c>
      <c r="T232">
        <f t="shared" si="25"/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 s="6">
        <v>4.5999999999999996</v>
      </c>
      <c r="K233">
        <v>0</v>
      </c>
      <c r="L233">
        <v>3.7</v>
      </c>
      <c r="M233">
        <v>647512.85</v>
      </c>
      <c r="N233">
        <v>153835.57</v>
      </c>
      <c r="O233" s="5">
        <f t="shared" si="21"/>
        <v>0</v>
      </c>
      <c r="P233" s="5">
        <f t="shared" si="20"/>
        <v>0</v>
      </c>
      <c r="Q233">
        <f t="shared" si="22"/>
        <v>0</v>
      </c>
      <c r="R233">
        <f t="shared" si="23"/>
        <v>0</v>
      </c>
      <c r="S233">
        <f t="shared" si="24"/>
        <v>1</v>
      </c>
      <c r="T233">
        <f t="shared" si="25"/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 s="5">
        <f t="shared" si="21"/>
        <v>0</v>
      </c>
      <c r="P234" s="5">
        <f t="shared" si="20"/>
        <v>0</v>
      </c>
      <c r="Q234">
        <f t="shared" si="22"/>
        <v>1</v>
      </c>
      <c r="R234">
        <f t="shared" si="23"/>
        <v>0</v>
      </c>
      <c r="S234">
        <f t="shared" si="24"/>
        <v>0</v>
      </c>
      <c r="T234">
        <f t="shared" si="25"/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 s="5">
        <f t="shared" si="21"/>
        <v>0</v>
      </c>
      <c r="P235" s="5">
        <f t="shared" si="20"/>
        <v>0</v>
      </c>
      <c r="Q235">
        <f t="shared" si="22"/>
        <v>1</v>
      </c>
      <c r="R235">
        <f t="shared" si="23"/>
        <v>0</v>
      </c>
      <c r="S235">
        <f t="shared" si="24"/>
        <v>0</v>
      </c>
      <c r="T235">
        <f t="shared" si="25"/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 s="5">
        <f t="shared" si="21"/>
        <v>0</v>
      </c>
      <c r="P236" s="5">
        <f t="shared" si="20"/>
        <v>0</v>
      </c>
      <c r="Q236">
        <f t="shared" si="22"/>
        <v>1</v>
      </c>
      <c r="R236">
        <f t="shared" si="23"/>
        <v>0</v>
      </c>
      <c r="S236">
        <f t="shared" si="24"/>
        <v>0</v>
      </c>
      <c r="T236">
        <f t="shared" si="25"/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 s="5">
        <f t="shared" si="21"/>
        <v>0</v>
      </c>
      <c r="P237" s="5">
        <f t="shared" si="20"/>
        <v>0</v>
      </c>
      <c r="Q237">
        <f t="shared" si="22"/>
        <v>1</v>
      </c>
      <c r="R237">
        <f t="shared" si="23"/>
        <v>0</v>
      </c>
      <c r="S237">
        <f t="shared" si="24"/>
        <v>0</v>
      </c>
      <c r="T237">
        <f t="shared" si="25"/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 s="5">
        <f t="shared" si="21"/>
        <v>0</v>
      </c>
      <c r="P238" s="5">
        <f t="shared" si="20"/>
        <v>0</v>
      </c>
      <c r="Q238">
        <f t="shared" si="22"/>
        <v>1</v>
      </c>
      <c r="R238">
        <f t="shared" si="23"/>
        <v>0</v>
      </c>
      <c r="S238">
        <f t="shared" si="24"/>
        <v>0</v>
      </c>
      <c r="T238">
        <f t="shared" si="25"/>
        <v>1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 s="5">
        <f t="shared" si="21"/>
        <v>0</v>
      </c>
      <c r="P239" s="5">
        <f t="shared" ref="P239:P289" si="26">IF($C239="South",1,0)</f>
        <v>0</v>
      </c>
      <c r="Q239">
        <f t="shared" si="22"/>
        <v>1</v>
      </c>
      <c r="R239">
        <f t="shared" si="23"/>
        <v>0</v>
      </c>
      <c r="S239">
        <f t="shared" si="24"/>
        <v>0</v>
      </c>
      <c r="T239">
        <f t="shared" si="25"/>
        <v>1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 s="5">
        <f t="shared" si="21"/>
        <v>0</v>
      </c>
      <c r="P240" s="5">
        <f t="shared" si="26"/>
        <v>0</v>
      </c>
      <c r="Q240">
        <f t="shared" si="22"/>
        <v>1</v>
      </c>
      <c r="R240">
        <f t="shared" si="23"/>
        <v>0</v>
      </c>
      <c r="S240">
        <f t="shared" si="24"/>
        <v>0</v>
      </c>
      <c r="T240">
        <f t="shared" si="25"/>
        <v>1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 s="5">
        <f t="shared" si="21"/>
        <v>0</v>
      </c>
      <c r="P241" s="5">
        <f t="shared" si="26"/>
        <v>0</v>
      </c>
      <c r="Q241">
        <f t="shared" si="22"/>
        <v>1</v>
      </c>
      <c r="R241">
        <f t="shared" si="23"/>
        <v>0</v>
      </c>
      <c r="S241">
        <f t="shared" si="24"/>
        <v>0</v>
      </c>
      <c r="T241">
        <f t="shared" si="25"/>
        <v>1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 s="5">
        <f t="shared" si="21"/>
        <v>0</v>
      </c>
      <c r="P242" s="5">
        <f t="shared" si="26"/>
        <v>1</v>
      </c>
      <c r="Q242">
        <f t="shared" si="22"/>
        <v>0</v>
      </c>
      <c r="R242">
        <f t="shared" si="23"/>
        <v>1</v>
      </c>
      <c r="S242">
        <f t="shared" si="24"/>
        <v>0</v>
      </c>
      <c r="T242">
        <f t="shared" si="25"/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 s="5">
        <f t="shared" si="21"/>
        <v>0</v>
      </c>
      <c r="P243" s="5">
        <f t="shared" si="26"/>
        <v>1</v>
      </c>
      <c r="Q243">
        <f t="shared" si="22"/>
        <v>0</v>
      </c>
      <c r="R243">
        <f t="shared" si="23"/>
        <v>1</v>
      </c>
      <c r="S243">
        <f t="shared" si="24"/>
        <v>0</v>
      </c>
      <c r="T243">
        <f t="shared" si="25"/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 s="5">
        <f t="shared" si="21"/>
        <v>0</v>
      </c>
      <c r="P244" s="5">
        <f t="shared" si="26"/>
        <v>1</v>
      </c>
      <c r="Q244">
        <f t="shared" si="22"/>
        <v>0</v>
      </c>
      <c r="R244">
        <f t="shared" si="23"/>
        <v>1</v>
      </c>
      <c r="S244">
        <f t="shared" si="24"/>
        <v>0</v>
      </c>
      <c r="T244">
        <f t="shared" si="25"/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 s="5">
        <f t="shared" si="21"/>
        <v>0</v>
      </c>
      <c r="P245" s="5">
        <f t="shared" si="26"/>
        <v>1</v>
      </c>
      <c r="Q245">
        <f t="shared" si="22"/>
        <v>0</v>
      </c>
      <c r="R245">
        <f t="shared" si="23"/>
        <v>1</v>
      </c>
      <c r="S245">
        <f t="shared" si="24"/>
        <v>0</v>
      </c>
      <c r="T245">
        <f t="shared" si="25"/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 s="5">
        <f t="shared" si="21"/>
        <v>0</v>
      </c>
      <c r="P246" s="5">
        <f t="shared" si="26"/>
        <v>0</v>
      </c>
      <c r="Q246">
        <f t="shared" si="22"/>
        <v>0</v>
      </c>
      <c r="R246">
        <f t="shared" si="23"/>
        <v>0</v>
      </c>
      <c r="S246">
        <f t="shared" si="24"/>
        <v>1</v>
      </c>
      <c r="T246">
        <f t="shared" si="25"/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 s="5">
        <f t="shared" si="21"/>
        <v>0</v>
      </c>
      <c r="P247" s="5">
        <f t="shared" si="26"/>
        <v>0</v>
      </c>
      <c r="Q247">
        <f t="shared" si="22"/>
        <v>0</v>
      </c>
      <c r="R247">
        <f t="shared" si="23"/>
        <v>0</v>
      </c>
      <c r="S247">
        <f t="shared" si="24"/>
        <v>1</v>
      </c>
      <c r="T247">
        <f t="shared" si="25"/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 s="5">
        <f t="shared" si="21"/>
        <v>0</v>
      </c>
      <c r="P248" s="5">
        <f t="shared" si="26"/>
        <v>0</v>
      </c>
      <c r="Q248">
        <f t="shared" si="22"/>
        <v>0</v>
      </c>
      <c r="R248">
        <f t="shared" si="23"/>
        <v>0</v>
      </c>
      <c r="S248">
        <f t="shared" si="24"/>
        <v>1</v>
      </c>
      <c r="T248">
        <f t="shared" si="25"/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 s="5">
        <f t="shared" si="21"/>
        <v>0</v>
      </c>
      <c r="P249" s="5">
        <f t="shared" si="26"/>
        <v>0</v>
      </c>
      <c r="Q249">
        <f t="shared" si="22"/>
        <v>0</v>
      </c>
      <c r="R249">
        <f t="shared" si="23"/>
        <v>0</v>
      </c>
      <c r="S249">
        <f t="shared" si="24"/>
        <v>1</v>
      </c>
      <c r="T249">
        <f t="shared" si="25"/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 s="6">
        <v>4.5999999999999996</v>
      </c>
      <c r="K250">
        <v>0</v>
      </c>
      <c r="L250">
        <v>3.8</v>
      </c>
      <c r="M250">
        <v>606783.67000000004</v>
      </c>
      <c r="N250">
        <v>74515.87</v>
      </c>
      <c r="O250" s="5">
        <f t="shared" si="21"/>
        <v>1</v>
      </c>
      <c r="P250" s="5">
        <f t="shared" si="26"/>
        <v>0</v>
      </c>
      <c r="Q250">
        <f t="shared" si="22"/>
        <v>0</v>
      </c>
      <c r="R250">
        <f t="shared" si="23"/>
        <v>0</v>
      </c>
      <c r="S250">
        <f t="shared" si="24"/>
        <v>1</v>
      </c>
      <c r="T250">
        <f t="shared" si="25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 s="5">
        <f t="shared" si="21"/>
        <v>1</v>
      </c>
      <c r="P251" s="5">
        <f t="shared" si="26"/>
        <v>0</v>
      </c>
      <c r="Q251">
        <f t="shared" si="22"/>
        <v>0</v>
      </c>
      <c r="R251">
        <f t="shared" si="23"/>
        <v>0</v>
      </c>
      <c r="S251">
        <f t="shared" si="24"/>
        <v>1</v>
      </c>
      <c r="T251">
        <f t="shared" si="25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 s="5">
        <f t="shared" si="21"/>
        <v>1</v>
      </c>
      <c r="P252" s="5">
        <f t="shared" si="26"/>
        <v>0</v>
      </c>
      <c r="Q252">
        <f t="shared" si="22"/>
        <v>0</v>
      </c>
      <c r="R252">
        <f t="shared" si="23"/>
        <v>0</v>
      </c>
      <c r="S252">
        <f t="shared" si="24"/>
        <v>1</v>
      </c>
      <c r="T252">
        <f t="shared" si="25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 s="5">
        <f t="shared" si="21"/>
        <v>1</v>
      </c>
      <c r="P253" s="5">
        <f t="shared" si="26"/>
        <v>0</v>
      </c>
      <c r="Q253">
        <f t="shared" si="22"/>
        <v>0</v>
      </c>
      <c r="R253">
        <f t="shared" si="23"/>
        <v>0</v>
      </c>
      <c r="S253">
        <f t="shared" si="24"/>
        <v>1</v>
      </c>
      <c r="T253">
        <f t="shared" si="25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 s="5">
        <f t="shared" si="21"/>
        <v>0</v>
      </c>
      <c r="P254" s="5">
        <f t="shared" si="26"/>
        <v>1</v>
      </c>
      <c r="Q254">
        <f t="shared" si="22"/>
        <v>0</v>
      </c>
      <c r="R254">
        <f t="shared" si="23"/>
        <v>1</v>
      </c>
      <c r="S254">
        <f t="shared" si="24"/>
        <v>0</v>
      </c>
      <c r="T254">
        <f t="shared" si="25"/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 s="5">
        <f t="shared" si="21"/>
        <v>0</v>
      </c>
      <c r="P255" s="5">
        <f t="shared" si="26"/>
        <v>1</v>
      </c>
      <c r="Q255">
        <f t="shared" si="22"/>
        <v>0</v>
      </c>
      <c r="R255">
        <f t="shared" si="23"/>
        <v>1</v>
      </c>
      <c r="S255">
        <f t="shared" si="24"/>
        <v>0</v>
      </c>
      <c r="T255">
        <f t="shared" si="25"/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 s="5">
        <f t="shared" si="21"/>
        <v>0</v>
      </c>
      <c r="P256" s="5">
        <f t="shared" si="26"/>
        <v>1</v>
      </c>
      <c r="Q256">
        <f t="shared" si="22"/>
        <v>0</v>
      </c>
      <c r="R256">
        <f t="shared" si="23"/>
        <v>1</v>
      </c>
      <c r="S256">
        <f t="shared" si="24"/>
        <v>0</v>
      </c>
      <c r="T256">
        <f t="shared" si="25"/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 s="5">
        <f t="shared" si="21"/>
        <v>0</v>
      </c>
      <c r="P257" s="5">
        <f t="shared" si="26"/>
        <v>1</v>
      </c>
      <c r="Q257">
        <f t="shared" si="22"/>
        <v>0</v>
      </c>
      <c r="R257">
        <f t="shared" si="23"/>
        <v>1</v>
      </c>
      <c r="S257">
        <f t="shared" si="24"/>
        <v>0</v>
      </c>
      <c r="T257">
        <f t="shared" si="25"/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 s="5">
        <f t="shared" si="21"/>
        <v>0</v>
      </c>
      <c r="P258" s="5">
        <f t="shared" si="26"/>
        <v>1</v>
      </c>
      <c r="Q258">
        <f t="shared" si="22"/>
        <v>0</v>
      </c>
      <c r="R258">
        <f t="shared" si="23"/>
        <v>0</v>
      </c>
      <c r="S258">
        <f t="shared" si="24"/>
        <v>0</v>
      </c>
      <c r="T258">
        <f t="shared" si="25"/>
        <v>1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 s="5">
        <f t="shared" ref="O259:O321" si="27">IF($C259="North",1,0)</f>
        <v>0</v>
      </c>
      <c r="P259" s="5">
        <f t="shared" si="26"/>
        <v>1</v>
      </c>
      <c r="Q259">
        <f t="shared" ref="Q259:Q321" si="28">IF($C259="West",1,0)</f>
        <v>0</v>
      </c>
      <c r="R259">
        <f t="shared" ref="R259:R321" si="29">IF($D259="Airport",1,0)</f>
        <v>0</v>
      </c>
      <c r="S259">
        <f t="shared" ref="S259:S321" si="30">IF($D259="High Street",1,0)</f>
        <v>0</v>
      </c>
      <c r="T259">
        <f t="shared" ref="T259:T321" si="31">IF($D259="Mall",1,0)</f>
        <v>1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 s="5">
        <f t="shared" si="27"/>
        <v>0</v>
      </c>
      <c r="P260" s="5">
        <f t="shared" si="26"/>
        <v>1</v>
      </c>
      <c r="Q260">
        <f t="shared" si="28"/>
        <v>0</v>
      </c>
      <c r="R260">
        <f t="shared" si="29"/>
        <v>0</v>
      </c>
      <c r="S260">
        <f t="shared" si="30"/>
        <v>0</v>
      </c>
      <c r="T260">
        <f t="shared" si="31"/>
        <v>1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 s="5">
        <f t="shared" si="27"/>
        <v>0</v>
      </c>
      <c r="P261" s="5">
        <f t="shared" si="26"/>
        <v>1</v>
      </c>
      <c r="Q261">
        <f t="shared" si="28"/>
        <v>0</v>
      </c>
      <c r="R261">
        <f t="shared" si="29"/>
        <v>0</v>
      </c>
      <c r="S261">
        <f t="shared" si="30"/>
        <v>0</v>
      </c>
      <c r="T261">
        <f t="shared" si="31"/>
        <v>1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 s="5">
        <f t="shared" si="27"/>
        <v>0</v>
      </c>
      <c r="P262" s="5">
        <f t="shared" si="26"/>
        <v>0</v>
      </c>
      <c r="Q262">
        <f t="shared" si="28"/>
        <v>1</v>
      </c>
      <c r="R262">
        <f t="shared" si="29"/>
        <v>0</v>
      </c>
      <c r="S262">
        <f t="shared" si="30"/>
        <v>1</v>
      </c>
      <c r="T262">
        <f t="shared" si="31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 s="6">
        <v>4.5999999999999996</v>
      </c>
      <c r="K263">
        <v>0</v>
      </c>
      <c r="L263">
        <v>4.2</v>
      </c>
      <c r="M263">
        <v>605751.32999999996</v>
      </c>
      <c r="N263">
        <v>60685.53</v>
      </c>
      <c r="O263" s="5">
        <f t="shared" si="27"/>
        <v>0</v>
      </c>
      <c r="P263" s="5">
        <f t="shared" si="26"/>
        <v>0</v>
      </c>
      <c r="Q263">
        <f t="shared" si="28"/>
        <v>1</v>
      </c>
      <c r="R263">
        <f t="shared" si="29"/>
        <v>0</v>
      </c>
      <c r="S263">
        <f t="shared" si="30"/>
        <v>1</v>
      </c>
      <c r="T263">
        <f t="shared" si="31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 s="5">
        <f t="shared" si="27"/>
        <v>0</v>
      </c>
      <c r="P264" s="5">
        <f t="shared" si="26"/>
        <v>0</v>
      </c>
      <c r="Q264">
        <f t="shared" si="28"/>
        <v>1</v>
      </c>
      <c r="R264">
        <f t="shared" si="29"/>
        <v>0</v>
      </c>
      <c r="S264">
        <f t="shared" si="30"/>
        <v>1</v>
      </c>
      <c r="T264">
        <f t="shared" si="31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 s="5">
        <f t="shared" si="27"/>
        <v>0</v>
      </c>
      <c r="P265" s="5">
        <f t="shared" si="26"/>
        <v>0</v>
      </c>
      <c r="Q265">
        <f t="shared" si="28"/>
        <v>1</v>
      </c>
      <c r="R265">
        <f t="shared" si="29"/>
        <v>0</v>
      </c>
      <c r="S265">
        <f t="shared" si="30"/>
        <v>1</v>
      </c>
      <c r="T265">
        <f t="shared" si="31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 s="5">
        <f t="shared" si="27"/>
        <v>0</v>
      </c>
      <c r="P266" s="5">
        <f t="shared" si="26"/>
        <v>0</v>
      </c>
      <c r="Q266">
        <f t="shared" si="28"/>
        <v>0</v>
      </c>
      <c r="R266">
        <f t="shared" si="29"/>
        <v>0</v>
      </c>
      <c r="S266">
        <f t="shared" si="30"/>
        <v>1</v>
      </c>
      <c r="T266">
        <f t="shared" si="31"/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 s="5">
        <f t="shared" si="27"/>
        <v>0</v>
      </c>
      <c r="P267" s="5">
        <f t="shared" si="26"/>
        <v>0</v>
      </c>
      <c r="Q267">
        <f t="shared" si="28"/>
        <v>0</v>
      </c>
      <c r="R267">
        <f t="shared" si="29"/>
        <v>0</v>
      </c>
      <c r="S267">
        <f t="shared" si="30"/>
        <v>1</v>
      </c>
      <c r="T267">
        <f t="shared" si="31"/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 s="5">
        <f t="shared" si="27"/>
        <v>0</v>
      </c>
      <c r="P268" s="5">
        <f t="shared" si="26"/>
        <v>0</v>
      </c>
      <c r="Q268">
        <f t="shared" si="28"/>
        <v>0</v>
      </c>
      <c r="R268">
        <f t="shared" si="29"/>
        <v>0</v>
      </c>
      <c r="S268">
        <f t="shared" si="30"/>
        <v>1</v>
      </c>
      <c r="T268">
        <f t="shared" si="31"/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 s="5">
        <f t="shared" si="27"/>
        <v>0</v>
      </c>
      <c r="P269" s="5">
        <f t="shared" si="26"/>
        <v>0</v>
      </c>
      <c r="Q269">
        <f t="shared" si="28"/>
        <v>0</v>
      </c>
      <c r="R269">
        <f t="shared" si="29"/>
        <v>0</v>
      </c>
      <c r="S269">
        <f t="shared" si="30"/>
        <v>1</v>
      </c>
      <c r="T269">
        <f t="shared" si="31"/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 s="5">
        <f t="shared" si="27"/>
        <v>0</v>
      </c>
      <c r="P270" s="5">
        <f t="shared" si="26"/>
        <v>0</v>
      </c>
      <c r="Q270">
        <f t="shared" si="28"/>
        <v>0</v>
      </c>
      <c r="R270">
        <f t="shared" si="29"/>
        <v>0</v>
      </c>
      <c r="S270">
        <f t="shared" si="30"/>
        <v>0</v>
      </c>
      <c r="T270">
        <f t="shared" si="31"/>
        <v>1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 s="5">
        <f t="shared" si="27"/>
        <v>0</v>
      </c>
      <c r="P271" s="5">
        <f t="shared" si="26"/>
        <v>0</v>
      </c>
      <c r="Q271">
        <f t="shared" si="28"/>
        <v>0</v>
      </c>
      <c r="R271">
        <f t="shared" si="29"/>
        <v>0</v>
      </c>
      <c r="S271">
        <f t="shared" si="30"/>
        <v>0</v>
      </c>
      <c r="T271">
        <f t="shared" si="31"/>
        <v>1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 s="5">
        <f t="shared" si="27"/>
        <v>0</v>
      </c>
      <c r="P272" s="5">
        <f t="shared" si="26"/>
        <v>0</v>
      </c>
      <c r="Q272">
        <f t="shared" si="28"/>
        <v>0</v>
      </c>
      <c r="R272">
        <f t="shared" si="29"/>
        <v>0</v>
      </c>
      <c r="S272">
        <f t="shared" si="30"/>
        <v>0</v>
      </c>
      <c r="T272">
        <f t="shared" si="31"/>
        <v>1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 s="5">
        <f t="shared" si="27"/>
        <v>0</v>
      </c>
      <c r="P273" s="5">
        <f t="shared" si="26"/>
        <v>0</v>
      </c>
      <c r="Q273">
        <f t="shared" si="28"/>
        <v>0</v>
      </c>
      <c r="R273">
        <f t="shared" si="29"/>
        <v>0</v>
      </c>
      <c r="S273">
        <f t="shared" si="30"/>
        <v>0</v>
      </c>
      <c r="T273">
        <f t="shared" si="31"/>
        <v>1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 s="5">
        <f t="shared" si="27"/>
        <v>0</v>
      </c>
      <c r="P274" s="5">
        <f t="shared" si="26"/>
        <v>0</v>
      </c>
      <c r="Q274">
        <f t="shared" si="28"/>
        <v>1</v>
      </c>
      <c r="R274">
        <f t="shared" si="29"/>
        <v>0</v>
      </c>
      <c r="S274">
        <f t="shared" si="30"/>
        <v>1</v>
      </c>
      <c r="T274">
        <f t="shared" si="31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 s="5">
        <f t="shared" si="27"/>
        <v>0</v>
      </c>
      <c r="P275" s="5">
        <f t="shared" si="26"/>
        <v>0</v>
      </c>
      <c r="Q275">
        <f t="shared" si="28"/>
        <v>1</v>
      </c>
      <c r="R275">
        <f t="shared" si="29"/>
        <v>0</v>
      </c>
      <c r="S275">
        <f t="shared" si="30"/>
        <v>1</v>
      </c>
      <c r="T275">
        <f t="shared" si="31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 s="5">
        <f t="shared" si="27"/>
        <v>0</v>
      </c>
      <c r="P276" s="5">
        <f t="shared" si="26"/>
        <v>0</v>
      </c>
      <c r="Q276">
        <f t="shared" si="28"/>
        <v>1</v>
      </c>
      <c r="R276">
        <f t="shared" si="29"/>
        <v>0</v>
      </c>
      <c r="S276">
        <f t="shared" si="30"/>
        <v>1</v>
      </c>
      <c r="T276">
        <f t="shared" si="31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 s="5">
        <f t="shared" si="27"/>
        <v>0</v>
      </c>
      <c r="P277" s="5">
        <f t="shared" si="26"/>
        <v>0</v>
      </c>
      <c r="Q277">
        <f t="shared" si="28"/>
        <v>1</v>
      </c>
      <c r="R277">
        <f t="shared" si="29"/>
        <v>0</v>
      </c>
      <c r="S277">
        <f t="shared" si="30"/>
        <v>1</v>
      </c>
      <c r="T277">
        <f t="shared" si="31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 s="5">
        <f t="shared" si="27"/>
        <v>0</v>
      </c>
      <c r="P278" s="5">
        <f t="shared" si="26"/>
        <v>1</v>
      </c>
      <c r="Q278">
        <f t="shared" si="28"/>
        <v>0</v>
      </c>
      <c r="R278">
        <f t="shared" si="29"/>
        <v>0</v>
      </c>
      <c r="S278">
        <f t="shared" si="30"/>
        <v>0</v>
      </c>
      <c r="T278">
        <f t="shared" si="31"/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 s="5">
        <f t="shared" si="27"/>
        <v>0</v>
      </c>
      <c r="P279" s="5">
        <f t="shared" si="26"/>
        <v>1</v>
      </c>
      <c r="Q279">
        <f t="shared" si="28"/>
        <v>0</v>
      </c>
      <c r="R279">
        <f t="shared" si="29"/>
        <v>0</v>
      </c>
      <c r="S279">
        <f t="shared" si="30"/>
        <v>0</v>
      </c>
      <c r="T279">
        <f t="shared" si="31"/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 s="5">
        <f t="shared" si="27"/>
        <v>0</v>
      </c>
      <c r="P280" s="5">
        <f t="shared" si="26"/>
        <v>1</v>
      </c>
      <c r="Q280">
        <f t="shared" si="28"/>
        <v>0</v>
      </c>
      <c r="R280">
        <f t="shared" si="29"/>
        <v>0</v>
      </c>
      <c r="S280">
        <f t="shared" si="30"/>
        <v>0</v>
      </c>
      <c r="T280">
        <f t="shared" si="31"/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 s="5">
        <f t="shared" si="27"/>
        <v>0</v>
      </c>
      <c r="P281" s="5">
        <f t="shared" si="26"/>
        <v>1</v>
      </c>
      <c r="Q281">
        <f t="shared" si="28"/>
        <v>0</v>
      </c>
      <c r="R281">
        <f t="shared" si="29"/>
        <v>0</v>
      </c>
      <c r="S281">
        <f t="shared" si="30"/>
        <v>0</v>
      </c>
      <c r="T281">
        <f t="shared" si="31"/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 s="5">
        <f t="shared" si="27"/>
        <v>0</v>
      </c>
      <c r="P282" s="5">
        <f t="shared" si="26"/>
        <v>1</v>
      </c>
      <c r="Q282">
        <f t="shared" si="28"/>
        <v>0</v>
      </c>
      <c r="R282">
        <f t="shared" si="29"/>
        <v>0</v>
      </c>
      <c r="S282">
        <f t="shared" si="30"/>
        <v>1</v>
      </c>
      <c r="T282">
        <f t="shared" si="31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 s="5">
        <f t="shared" si="27"/>
        <v>0</v>
      </c>
      <c r="P283" s="5">
        <f t="shared" si="26"/>
        <v>1</v>
      </c>
      <c r="Q283">
        <f t="shared" si="28"/>
        <v>0</v>
      </c>
      <c r="R283">
        <f t="shared" si="29"/>
        <v>0</v>
      </c>
      <c r="S283">
        <f t="shared" si="30"/>
        <v>1</v>
      </c>
      <c r="T283">
        <f t="shared" si="31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 s="5">
        <f t="shared" si="27"/>
        <v>0</v>
      </c>
      <c r="P284" s="5">
        <f t="shared" si="26"/>
        <v>1</v>
      </c>
      <c r="Q284">
        <f t="shared" si="28"/>
        <v>0</v>
      </c>
      <c r="R284">
        <f t="shared" si="29"/>
        <v>0</v>
      </c>
      <c r="S284">
        <f t="shared" si="30"/>
        <v>1</v>
      </c>
      <c r="T284">
        <f t="shared" si="31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 s="5">
        <f t="shared" si="27"/>
        <v>0</v>
      </c>
      <c r="P285" s="5">
        <f t="shared" si="26"/>
        <v>1</v>
      </c>
      <c r="Q285">
        <f t="shared" si="28"/>
        <v>0</v>
      </c>
      <c r="R285">
        <f t="shared" si="29"/>
        <v>0</v>
      </c>
      <c r="S285">
        <f t="shared" si="30"/>
        <v>1</v>
      </c>
      <c r="T285">
        <f t="shared" si="31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 s="5">
        <f t="shared" si="27"/>
        <v>0</v>
      </c>
      <c r="P286" s="5">
        <f t="shared" si="26"/>
        <v>0</v>
      </c>
      <c r="Q286">
        <f t="shared" si="28"/>
        <v>1</v>
      </c>
      <c r="R286">
        <f t="shared" si="29"/>
        <v>0</v>
      </c>
      <c r="S286">
        <f t="shared" si="30"/>
        <v>0</v>
      </c>
      <c r="T286">
        <f t="shared" si="31"/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 s="5">
        <f t="shared" si="27"/>
        <v>0</v>
      </c>
      <c r="P287" s="5">
        <f t="shared" si="26"/>
        <v>0</v>
      </c>
      <c r="Q287">
        <f t="shared" si="28"/>
        <v>1</v>
      </c>
      <c r="R287">
        <f t="shared" si="29"/>
        <v>0</v>
      </c>
      <c r="S287">
        <f t="shared" si="30"/>
        <v>0</v>
      </c>
      <c r="T287">
        <f t="shared" si="31"/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 s="5">
        <f t="shared" si="27"/>
        <v>0</v>
      </c>
      <c r="P288" s="5">
        <f t="shared" si="26"/>
        <v>0</v>
      </c>
      <c r="Q288">
        <f t="shared" si="28"/>
        <v>1</v>
      </c>
      <c r="R288">
        <f t="shared" si="29"/>
        <v>0</v>
      </c>
      <c r="S288">
        <f t="shared" si="30"/>
        <v>0</v>
      </c>
      <c r="T288">
        <f t="shared" si="31"/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 s="5">
        <f t="shared" si="27"/>
        <v>0</v>
      </c>
      <c r="P289" s="5">
        <f t="shared" si="26"/>
        <v>0</v>
      </c>
      <c r="Q289">
        <f t="shared" si="28"/>
        <v>1</v>
      </c>
      <c r="R289">
        <f t="shared" si="29"/>
        <v>0</v>
      </c>
      <c r="S289">
        <f t="shared" si="30"/>
        <v>0</v>
      </c>
      <c r="T289">
        <f t="shared" si="31"/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 s="5">
        <f t="shared" si="27"/>
        <v>0</v>
      </c>
      <c r="P290" s="5">
        <f t="shared" ref="P290:P321" si="32">IF($C290="South",1,0)</f>
        <v>0</v>
      </c>
      <c r="Q290">
        <f t="shared" si="28"/>
        <v>0</v>
      </c>
      <c r="R290">
        <f t="shared" si="29"/>
        <v>0</v>
      </c>
      <c r="S290">
        <f t="shared" si="30"/>
        <v>0</v>
      </c>
      <c r="T290">
        <f t="shared" si="31"/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 s="5">
        <f t="shared" si="27"/>
        <v>0</v>
      </c>
      <c r="P291" s="5">
        <f t="shared" si="32"/>
        <v>0</v>
      </c>
      <c r="Q291">
        <f t="shared" si="28"/>
        <v>0</v>
      </c>
      <c r="R291">
        <f t="shared" si="29"/>
        <v>0</v>
      </c>
      <c r="S291">
        <f t="shared" si="30"/>
        <v>0</v>
      </c>
      <c r="T291">
        <f t="shared" si="31"/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 s="5">
        <f t="shared" si="27"/>
        <v>0</v>
      </c>
      <c r="P292" s="5">
        <f t="shared" si="32"/>
        <v>0</v>
      </c>
      <c r="Q292">
        <f t="shared" si="28"/>
        <v>0</v>
      </c>
      <c r="R292">
        <f t="shared" si="29"/>
        <v>0</v>
      </c>
      <c r="S292">
        <f t="shared" si="30"/>
        <v>0</v>
      </c>
      <c r="T292">
        <f t="shared" si="31"/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 s="5">
        <f t="shared" si="27"/>
        <v>0</v>
      </c>
      <c r="P293" s="5">
        <f t="shared" si="32"/>
        <v>0</v>
      </c>
      <c r="Q293">
        <f t="shared" si="28"/>
        <v>0</v>
      </c>
      <c r="R293">
        <f t="shared" si="29"/>
        <v>0</v>
      </c>
      <c r="S293">
        <f t="shared" si="30"/>
        <v>0</v>
      </c>
      <c r="T293">
        <f t="shared" si="31"/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 s="5">
        <f t="shared" si="27"/>
        <v>0</v>
      </c>
      <c r="P294" s="5">
        <f t="shared" si="32"/>
        <v>0</v>
      </c>
      <c r="Q294">
        <f t="shared" si="28"/>
        <v>1</v>
      </c>
      <c r="R294">
        <f t="shared" si="29"/>
        <v>0</v>
      </c>
      <c r="S294">
        <f t="shared" si="30"/>
        <v>1</v>
      </c>
      <c r="T294">
        <f t="shared" si="31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 s="5">
        <f t="shared" si="27"/>
        <v>0</v>
      </c>
      <c r="P295" s="5">
        <f t="shared" si="32"/>
        <v>0</v>
      </c>
      <c r="Q295">
        <f t="shared" si="28"/>
        <v>1</v>
      </c>
      <c r="R295">
        <f t="shared" si="29"/>
        <v>0</v>
      </c>
      <c r="S295">
        <f t="shared" si="30"/>
        <v>1</v>
      </c>
      <c r="T295">
        <f t="shared" si="31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 s="5">
        <f t="shared" si="27"/>
        <v>0</v>
      </c>
      <c r="P296" s="5">
        <f t="shared" si="32"/>
        <v>0</v>
      </c>
      <c r="Q296">
        <f t="shared" si="28"/>
        <v>1</v>
      </c>
      <c r="R296">
        <f t="shared" si="29"/>
        <v>0</v>
      </c>
      <c r="S296">
        <f t="shared" si="30"/>
        <v>1</v>
      </c>
      <c r="T296">
        <f t="shared" si="31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 s="5">
        <f t="shared" si="27"/>
        <v>0</v>
      </c>
      <c r="P297" s="5">
        <f t="shared" si="32"/>
        <v>0</v>
      </c>
      <c r="Q297">
        <f t="shared" si="28"/>
        <v>1</v>
      </c>
      <c r="R297">
        <f t="shared" si="29"/>
        <v>0</v>
      </c>
      <c r="S297">
        <f t="shared" si="30"/>
        <v>1</v>
      </c>
      <c r="T297">
        <f t="shared" si="31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 s="5">
        <f t="shared" si="27"/>
        <v>0</v>
      </c>
      <c r="P298" s="5">
        <f t="shared" si="32"/>
        <v>0</v>
      </c>
      <c r="Q298">
        <f t="shared" si="28"/>
        <v>1</v>
      </c>
      <c r="R298">
        <f t="shared" si="29"/>
        <v>0</v>
      </c>
      <c r="S298">
        <f t="shared" si="30"/>
        <v>1</v>
      </c>
      <c r="T298">
        <f t="shared" si="31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 s="5">
        <f t="shared" si="27"/>
        <v>0</v>
      </c>
      <c r="P299" s="5">
        <f t="shared" si="32"/>
        <v>0</v>
      </c>
      <c r="Q299">
        <f t="shared" si="28"/>
        <v>1</v>
      </c>
      <c r="R299">
        <f t="shared" si="29"/>
        <v>0</v>
      </c>
      <c r="S299">
        <f t="shared" si="30"/>
        <v>1</v>
      </c>
      <c r="T299">
        <f t="shared" si="31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 s="5">
        <f t="shared" si="27"/>
        <v>0</v>
      </c>
      <c r="P300" s="5">
        <f t="shared" si="32"/>
        <v>0</v>
      </c>
      <c r="Q300">
        <f t="shared" si="28"/>
        <v>1</v>
      </c>
      <c r="R300">
        <f t="shared" si="29"/>
        <v>0</v>
      </c>
      <c r="S300">
        <f t="shared" si="30"/>
        <v>1</v>
      </c>
      <c r="T300">
        <f t="shared" si="31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 s="5">
        <f t="shared" si="27"/>
        <v>0</v>
      </c>
      <c r="P301" s="5">
        <f t="shared" si="32"/>
        <v>0</v>
      </c>
      <c r="Q301">
        <f t="shared" si="28"/>
        <v>1</v>
      </c>
      <c r="R301">
        <f t="shared" si="29"/>
        <v>0</v>
      </c>
      <c r="S301">
        <f t="shared" si="30"/>
        <v>1</v>
      </c>
      <c r="T301">
        <f t="shared" si="31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 s="5">
        <f t="shared" si="27"/>
        <v>1</v>
      </c>
      <c r="P302" s="5">
        <f t="shared" si="32"/>
        <v>0</v>
      </c>
      <c r="Q302">
        <f t="shared" si="28"/>
        <v>0</v>
      </c>
      <c r="R302">
        <f t="shared" si="29"/>
        <v>0</v>
      </c>
      <c r="S302">
        <f t="shared" si="30"/>
        <v>0</v>
      </c>
      <c r="T302">
        <f t="shared" si="31"/>
        <v>1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 s="5">
        <f t="shared" si="27"/>
        <v>1</v>
      </c>
      <c r="P303" s="5">
        <f t="shared" si="32"/>
        <v>0</v>
      </c>
      <c r="Q303">
        <f t="shared" si="28"/>
        <v>0</v>
      </c>
      <c r="R303">
        <f t="shared" si="29"/>
        <v>0</v>
      </c>
      <c r="S303">
        <f t="shared" si="30"/>
        <v>0</v>
      </c>
      <c r="T303">
        <f t="shared" si="31"/>
        <v>1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 s="5">
        <f t="shared" si="27"/>
        <v>1</v>
      </c>
      <c r="P304" s="5">
        <f t="shared" si="32"/>
        <v>0</v>
      </c>
      <c r="Q304">
        <f t="shared" si="28"/>
        <v>0</v>
      </c>
      <c r="R304">
        <f t="shared" si="29"/>
        <v>0</v>
      </c>
      <c r="S304">
        <f t="shared" si="30"/>
        <v>0</v>
      </c>
      <c r="T304">
        <f t="shared" si="31"/>
        <v>1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 s="5">
        <f t="shared" si="27"/>
        <v>1</v>
      </c>
      <c r="P305" s="5">
        <f t="shared" si="32"/>
        <v>0</v>
      </c>
      <c r="Q305">
        <f t="shared" si="28"/>
        <v>0</v>
      </c>
      <c r="R305">
        <f t="shared" si="29"/>
        <v>0</v>
      </c>
      <c r="S305">
        <f t="shared" si="30"/>
        <v>0</v>
      </c>
      <c r="T305">
        <f t="shared" si="31"/>
        <v>1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 s="5">
        <f t="shared" si="27"/>
        <v>0</v>
      </c>
      <c r="P306" s="5">
        <f t="shared" si="32"/>
        <v>1</v>
      </c>
      <c r="Q306">
        <f t="shared" si="28"/>
        <v>0</v>
      </c>
      <c r="R306">
        <f t="shared" si="29"/>
        <v>0</v>
      </c>
      <c r="S306">
        <f t="shared" si="30"/>
        <v>0</v>
      </c>
      <c r="T306">
        <f t="shared" si="31"/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 s="5">
        <f t="shared" si="27"/>
        <v>0</v>
      </c>
      <c r="P307" s="5">
        <f t="shared" si="32"/>
        <v>1</v>
      </c>
      <c r="Q307">
        <f t="shared" si="28"/>
        <v>0</v>
      </c>
      <c r="R307">
        <f t="shared" si="29"/>
        <v>0</v>
      </c>
      <c r="S307">
        <f t="shared" si="30"/>
        <v>0</v>
      </c>
      <c r="T307">
        <f t="shared" si="31"/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 s="5">
        <f t="shared" si="27"/>
        <v>0</v>
      </c>
      <c r="P308" s="5">
        <f t="shared" si="32"/>
        <v>1</v>
      </c>
      <c r="Q308">
        <f t="shared" si="28"/>
        <v>0</v>
      </c>
      <c r="R308">
        <f t="shared" si="29"/>
        <v>0</v>
      </c>
      <c r="S308">
        <f t="shared" si="30"/>
        <v>0</v>
      </c>
      <c r="T308">
        <f t="shared" si="31"/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 s="5">
        <f t="shared" si="27"/>
        <v>0</v>
      </c>
      <c r="P309" s="5">
        <f t="shared" si="32"/>
        <v>1</v>
      </c>
      <c r="Q309">
        <f t="shared" si="28"/>
        <v>0</v>
      </c>
      <c r="R309">
        <f t="shared" si="29"/>
        <v>0</v>
      </c>
      <c r="S309">
        <f t="shared" si="30"/>
        <v>0</v>
      </c>
      <c r="T309">
        <f t="shared" si="31"/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 s="5">
        <f t="shared" si="27"/>
        <v>0</v>
      </c>
      <c r="P310" s="5">
        <f t="shared" si="32"/>
        <v>1</v>
      </c>
      <c r="Q310">
        <f t="shared" si="28"/>
        <v>0</v>
      </c>
      <c r="R310">
        <f t="shared" si="29"/>
        <v>0</v>
      </c>
      <c r="S310">
        <f t="shared" si="30"/>
        <v>1</v>
      </c>
      <c r="T310">
        <f t="shared" si="31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 s="5">
        <f t="shared" si="27"/>
        <v>0</v>
      </c>
      <c r="P311" s="5">
        <f t="shared" si="32"/>
        <v>1</v>
      </c>
      <c r="Q311">
        <f t="shared" si="28"/>
        <v>0</v>
      </c>
      <c r="R311">
        <f t="shared" si="29"/>
        <v>0</v>
      </c>
      <c r="S311">
        <f t="shared" si="30"/>
        <v>1</v>
      </c>
      <c r="T311">
        <f t="shared" si="31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 s="5">
        <f t="shared" si="27"/>
        <v>0</v>
      </c>
      <c r="P312" s="5">
        <f t="shared" si="32"/>
        <v>1</v>
      </c>
      <c r="Q312">
        <f t="shared" si="28"/>
        <v>0</v>
      </c>
      <c r="R312">
        <f t="shared" si="29"/>
        <v>0</v>
      </c>
      <c r="S312">
        <f t="shared" si="30"/>
        <v>1</v>
      </c>
      <c r="T312">
        <f t="shared" si="31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 s="7">
        <v>3.9</v>
      </c>
      <c r="M313">
        <v>771129.07</v>
      </c>
      <c r="N313">
        <v>116851.13</v>
      </c>
      <c r="O313" s="5">
        <f t="shared" si="27"/>
        <v>0</v>
      </c>
      <c r="P313" s="5">
        <f t="shared" si="32"/>
        <v>1</v>
      </c>
      <c r="Q313">
        <f t="shared" si="28"/>
        <v>0</v>
      </c>
      <c r="R313">
        <f t="shared" si="29"/>
        <v>0</v>
      </c>
      <c r="S313">
        <f t="shared" si="30"/>
        <v>1</v>
      </c>
      <c r="T313">
        <f t="shared" si="31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 s="5">
        <f t="shared" si="27"/>
        <v>1</v>
      </c>
      <c r="P314" s="5">
        <f t="shared" si="32"/>
        <v>0</v>
      </c>
      <c r="Q314">
        <f t="shared" si="28"/>
        <v>0</v>
      </c>
      <c r="R314">
        <f t="shared" si="29"/>
        <v>0</v>
      </c>
      <c r="S314">
        <f t="shared" si="30"/>
        <v>0</v>
      </c>
      <c r="T314">
        <f t="shared" si="31"/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 s="7">
        <v>3.9</v>
      </c>
      <c r="M315">
        <v>688368.46</v>
      </c>
      <c r="N315">
        <v>93588.42</v>
      </c>
      <c r="O315" s="5">
        <f t="shared" si="27"/>
        <v>1</v>
      </c>
      <c r="P315" s="5">
        <f t="shared" si="32"/>
        <v>0</v>
      </c>
      <c r="Q315">
        <f t="shared" si="28"/>
        <v>0</v>
      </c>
      <c r="R315">
        <f t="shared" si="29"/>
        <v>0</v>
      </c>
      <c r="S315">
        <f t="shared" si="30"/>
        <v>0</v>
      </c>
      <c r="T315">
        <f t="shared" si="31"/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 s="5">
        <f t="shared" si="27"/>
        <v>1</v>
      </c>
      <c r="P316" s="5">
        <f t="shared" si="32"/>
        <v>0</v>
      </c>
      <c r="Q316">
        <f t="shared" si="28"/>
        <v>0</v>
      </c>
      <c r="R316">
        <f t="shared" si="29"/>
        <v>0</v>
      </c>
      <c r="S316">
        <f t="shared" si="30"/>
        <v>0</v>
      </c>
      <c r="T316">
        <f t="shared" si="31"/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 s="5">
        <f>IF($C317="North",1,0)</f>
        <v>1</v>
      </c>
      <c r="P317" s="5">
        <f t="shared" si="32"/>
        <v>0</v>
      </c>
      <c r="Q317">
        <f t="shared" si="28"/>
        <v>0</v>
      </c>
      <c r="R317">
        <f t="shared" si="29"/>
        <v>0</v>
      </c>
      <c r="S317">
        <f t="shared" si="30"/>
        <v>0</v>
      </c>
      <c r="T317">
        <f t="shared" si="31"/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 s="5">
        <f t="shared" si="27"/>
        <v>0</v>
      </c>
      <c r="P318" s="5">
        <f t="shared" si="32"/>
        <v>0</v>
      </c>
      <c r="Q318">
        <f t="shared" si="28"/>
        <v>0</v>
      </c>
      <c r="R318">
        <f t="shared" si="29"/>
        <v>0</v>
      </c>
      <c r="S318">
        <f t="shared" si="30"/>
        <v>0</v>
      </c>
      <c r="T318">
        <f t="shared" si="31"/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 s="5">
        <f t="shared" si="27"/>
        <v>0</v>
      </c>
      <c r="P319" s="5">
        <f t="shared" si="32"/>
        <v>0</v>
      </c>
      <c r="Q319">
        <f t="shared" si="28"/>
        <v>0</v>
      </c>
      <c r="R319">
        <f t="shared" si="29"/>
        <v>0</v>
      </c>
      <c r="S319">
        <f t="shared" si="30"/>
        <v>0</v>
      </c>
      <c r="T319">
        <f t="shared" si="31"/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 s="5">
        <f t="shared" si="27"/>
        <v>0</v>
      </c>
      <c r="P320" s="5">
        <f t="shared" si="32"/>
        <v>0</v>
      </c>
      <c r="Q320">
        <f t="shared" si="28"/>
        <v>0</v>
      </c>
      <c r="R320">
        <f t="shared" si="29"/>
        <v>0</v>
      </c>
      <c r="S320">
        <f t="shared" si="30"/>
        <v>0</v>
      </c>
      <c r="T320">
        <f t="shared" si="31"/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 s="5">
        <f t="shared" si="27"/>
        <v>0</v>
      </c>
      <c r="P321" s="5">
        <f t="shared" si="32"/>
        <v>0</v>
      </c>
      <c r="Q321">
        <f t="shared" si="28"/>
        <v>0</v>
      </c>
      <c r="R321">
        <f t="shared" si="29"/>
        <v>0</v>
      </c>
      <c r="S321">
        <f t="shared" si="30"/>
        <v>0</v>
      </c>
      <c r="T321">
        <f t="shared" si="31"/>
        <v>0</v>
      </c>
    </row>
  </sheetData>
  <autoFilter ref="A1:N321" xr:uid="{070BD351-679B-4F40-937C-0DE1070C8D2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0390-DC62-41C0-9AA0-6B3258A46783}">
  <dimension ref="B1:R321"/>
  <sheetViews>
    <sheetView topLeftCell="B252" workbookViewId="0">
      <selection activeCell="R2" sqref="R2:R321"/>
    </sheetView>
  </sheetViews>
  <sheetFormatPr defaultRowHeight="14.5"/>
  <cols>
    <col min="1" max="1" width="11.453125" customWidth="1"/>
    <col min="2" max="2" width="9.54296875" customWidth="1"/>
    <col min="3" max="3" width="13.81640625" customWidth="1"/>
    <col min="4" max="4" width="12.36328125" customWidth="1"/>
    <col min="5" max="5" width="11.26953125" customWidth="1"/>
    <col min="6" max="6" width="11.81640625" customWidth="1"/>
  </cols>
  <sheetData>
    <row r="1" spans="2:18" ht="56">
      <c r="B1" s="1" t="s">
        <v>12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</row>
    <row r="2" spans="2:18">
      <c r="B2">
        <v>658832.62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 s="5">
        <f>IF($C2="North",1,0)</f>
        <v>0</v>
      </c>
      <c r="N2" s="5">
        <f>IF($C2="South",1,0)</f>
        <v>0</v>
      </c>
      <c r="O2">
        <f>IF($C2="West",1,0)</f>
        <v>0</v>
      </c>
      <c r="P2">
        <f>IF($D2="Airport",1,0)</f>
        <v>0</v>
      </c>
      <c r="Q2">
        <f>IF($D2="High Street",1,0)</f>
        <v>0</v>
      </c>
      <c r="R2">
        <f>IF($D2="Mall",1,0)</f>
        <v>0</v>
      </c>
    </row>
    <row r="3" spans="2:18">
      <c r="B3">
        <v>634436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 s="5">
        <f>IF($C3="North",1,0)</f>
        <v>0</v>
      </c>
      <c r="N3" s="5">
        <f t="shared" ref="N3:N66" si="0">IF($C3="South",1,0)</f>
        <v>0</v>
      </c>
      <c r="O3">
        <f t="shared" ref="O3:O66" si="1">IF($C3="West",1,0)</f>
        <v>0</v>
      </c>
      <c r="P3">
        <f t="shared" ref="P3:P66" si="2">IF($D3="Airport",1,0)</f>
        <v>0</v>
      </c>
      <c r="Q3">
        <f t="shared" ref="Q3:Q66" si="3">IF($D3="High Street",1,0)</f>
        <v>0</v>
      </c>
      <c r="R3">
        <f t="shared" ref="R3:R66" si="4">IF($D3="Mall",1,0)</f>
        <v>0</v>
      </c>
    </row>
    <row r="4" spans="2:18">
      <c r="B4">
        <v>678722.06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 s="5">
        <f t="shared" ref="M4:M67" si="5">IF($C4="North",1,0)</f>
        <v>0</v>
      </c>
      <c r="N4" s="5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>
        <f t="shared" si="4"/>
        <v>0</v>
      </c>
    </row>
    <row r="5" spans="2:18">
      <c r="B5">
        <v>658920.30000000005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 s="5">
        <f t="shared" si="5"/>
        <v>0</v>
      </c>
      <c r="N5" s="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>
        <f t="shared" si="4"/>
        <v>0</v>
      </c>
    </row>
    <row r="6" spans="2:18">
      <c r="B6">
        <v>741341.44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 s="5">
        <f t="shared" si="5"/>
        <v>0</v>
      </c>
      <c r="N6" s="5">
        <f t="shared" si="0"/>
        <v>0</v>
      </c>
      <c r="O6">
        <f t="shared" si="1"/>
        <v>0</v>
      </c>
      <c r="P6">
        <f t="shared" si="2"/>
        <v>0</v>
      </c>
      <c r="Q6">
        <f t="shared" si="3"/>
        <v>1</v>
      </c>
      <c r="R6">
        <f t="shared" si="4"/>
        <v>0</v>
      </c>
    </row>
    <row r="7" spans="2:18">
      <c r="B7">
        <v>761835.34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 s="5">
        <f t="shared" si="5"/>
        <v>0</v>
      </c>
      <c r="N7" s="5">
        <f t="shared" si="0"/>
        <v>0</v>
      </c>
      <c r="O7">
        <f t="shared" si="1"/>
        <v>0</v>
      </c>
      <c r="P7">
        <f t="shared" si="2"/>
        <v>0</v>
      </c>
      <c r="Q7">
        <f t="shared" si="3"/>
        <v>1</v>
      </c>
      <c r="R7">
        <f t="shared" si="4"/>
        <v>0</v>
      </c>
    </row>
    <row r="8" spans="2:18">
      <c r="B8">
        <v>806615.54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 s="5">
        <f t="shared" si="5"/>
        <v>0</v>
      </c>
      <c r="N8" s="5">
        <f t="shared" si="0"/>
        <v>0</v>
      </c>
      <c r="O8">
        <f t="shared" si="1"/>
        <v>0</v>
      </c>
      <c r="P8">
        <f t="shared" si="2"/>
        <v>0</v>
      </c>
      <c r="Q8">
        <f>IF($D8="High Street",1,0)</f>
        <v>1</v>
      </c>
      <c r="R8">
        <f t="shared" si="4"/>
        <v>0</v>
      </c>
    </row>
    <row r="9" spans="2:18">
      <c r="B9">
        <v>850164.26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 s="5">
        <f t="shared" si="5"/>
        <v>0</v>
      </c>
      <c r="N9" s="5">
        <f t="shared" si="0"/>
        <v>0</v>
      </c>
      <c r="O9">
        <f t="shared" si="1"/>
        <v>0</v>
      </c>
      <c r="P9">
        <f t="shared" si="2"/>
        <v>0</v>
      </c>
      <c r="Q9">
        <f t="shared" si="3"/>
        <v>1</v>
      </c>
      <c r="R9">
        <f t="shared" si="4"/>
        <v>0</v>
      </c>
    </row>
    <row r="10" spans="2:18">
      <c r="B10">
        <v>930581.7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 s="5">
        <f>IF($C10="North",1,0)</f>
        <v>1</v>
      </c>
      <c r="N10" s="5">
        <f t="shared" si="0"/>
        <v>0</v>
      </c>
      <c r="O10">
        <f t="shared" si="1"/>
        <v>0</v>
      </c>
      <c r="P10">
        <f>IF($D10="Airport",1,0)</f>
        <v>1</v>
      </c>
      <c r="Q10">
        <f t="shared" si="3"/>
        <v>0</v>
      </c>
      <c r="R10">
        <f t="shared" si="4"/>
        <v>0</v>
      </c>
    </row>
    <row r="11" spans="2:18">
      <c r="B11">
        <v>779010.94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 s="5">
        <f t="shared" si="5"/>
        <v>1</v>
      </c>
      <c r="N11" s="5">
        <f t="shared" si="0"/>
        <v>0</v>
      </c>
      <c r="O11">
        <f t="shared" si="1"/>
        <v>0</v>
      </c>
      <c r="P11">
        <f t="shared" si="2"/>
        <v>1</v>
      </c>
      <c r="Q11">
        <f t="shared" si="3"/>
        <v>0</v>
      </c>
      <c r="R11">
        <f t="shared" si="4"/>
        <v>0</v>
      </c>
    </row>
    <row r="12" spans="2:18">
      <c r="B12">
        <v>723060.76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 s="5">
        <f t="shared" si="5"/>
        <v>1</v>
      </c>
      <c r="N12" s="5">
        <f t="shared" si="0"/>
        <v>0</v>
      </c>
      <c r="O12">
        <f t="shared" si="1"/>
        <v>0</v>
      </c>
      <c r="P12">
        <f t="shared" si="2"/>
        <v>1</v>
      </c>
      <c r="Q12">
        <f t="shared" si="3"/>
        <v>0</v>
      </c>
      <c r="R12">
        <f t="shared" si="4"/>
        <v>0</v>
      </c>
    </row>
    <row r="13" spans="2:18">
      <c r="B13">
        <v>910791.94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 s="5">
        <f t="shared" si="5"/>
        <v>1</v>
      </c>
      <c r="N13" s="5">
        <f t="shared" si="0"/>
        <v>0</v>
      </c>
      <c r="O13">
        <f t="shared" si="1"/>
        <v>0</v>
      </c>
      <c r="P13">
        <f t="shared" si="2"/>
        <v>1</v>
      </c>
      <c r="Q13">
        <f t="shared" si="3"/>
        <v>0</v>
      </c>
      <c r="R13">
        <f t="shared" si="4"/>
        <v>0</v>
      </c>
    </row>
    <row r="14" spans="2:18">
      <c r="B14">
        <v>922168.6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 s="5">
        <f t="shared" si="5"/>
        <v>0</v>
      </c>
      <c r="N14" s="5">
        <f t="shared" si="0"/>
        <v>0</v>
      </c>
      <c r="O14">
        <f t="shared" si="1"/>
        <v>0</v>
      </c>
      <c r="P14">
        <f t="shared" si="2"/>
        <v>0</v>
      </c>
      <c r="Q14">
        <f t="shared" si="3"/>
        <v>0</v>
      </c>
      <c r="R14">
        <f t="shared" si="4"/>
        <v>0</v>
      </c>
    </row>
    <row r="15" spans="2:18">
      <c r="B15">
        <v>726606.28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 s="5">
        <f t="shared" si="5"/>
        <v>0</v>
      </c>
      <c r="N15" s="5">
        <f t="shared" si="0"/>
        <v>0</v>
      </c>
      <c r="O15">
        <f t="shared" si="1"/>
        <v>0</v>
      </c>
      <c r="P15">
        <f t="shared" si="2"/>
        <v>0</v>
      </c>
      <c r="Q15">
        <f t="shared" si="3"/>
        <v>0</v>
      </c>
      <c r="R15">
        <f t="shared" si="4"/>
        <v>0</v>
      </c>
    </row>
    <row r="16" spans="2:18">
      <c r="B16">
        <v>746501.09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 s="5">
        <f t="shared" si="5"/>
        <v>0</v>
      </c>
      <c r="N16" s="5">
        <f t="shared" si="0"/>
        <v>0</v>
      </c>
      <c r="O16">
        <f t="shared" si="1"/>
        <v>0</v>
      </c>
      <c r="P16">
        <f t="shared" si="2"/>
        <v>0</v>
      </c>
      <c r="Q16">
        <f t="shared" si="3"/>
        <v>0</v>
      </c>
      <c r="R16">
        <f t="shared" si="4"/>
        <v>0</v>
      </c>
    </row>
    <row r="17" spans="2:18">
      <c r="B17">
        <v>834017.02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 s="5">
        <f t="shared" si="5"/>
        <v>0</v>
      </c>
      <c r="N17" s="5">
        <f t="shared" si="0"/>
        <v>0</v>
      </c>
      <c r="O17">
        <f t="shared" si="1"/>
        <v>0</v>
      </c>
      <c r="P17">
        <f t="shared" si="2"/>
        <v>0</v>
      </c>
      <c r="Q17">
        <f t="shared" si="3"/>
        <v>0</v>
      </c>
      <c r="R17">
        <f t="shared" si="4"/>
        <v>0</v>
      </c>
    </row>
    <row r="18" spans="2:18">
      <c r="B18">
        <v>666152.52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 s="5">
        <f t="shared" si="5"/>
        <v>0</v>
      </c>
      <c r="N18" s="5">
        <f t="shared" si="0"/>
        <v>1</v>
      </c>
      <c r="O18">
        <f t="shared" si="1"/>
        <v>0</v>
      </c>
      <c r="P18">
        <f t="shared" si="2"/>
        <v>0</v>
      </c>
      <c r="Q18">
        <f t="shared" si="3"/>
        <v>0</v>
      </c>
      <c r="R18">
        <f t="shared" si="4"/>
        <v>0</v>
      </c>
    </row>
    <row r="19" spans="2:18">
      <c r="B19">
        <v>573155.18999999994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 s="5">
        <f t="shared" si="5"/>
        <v>0</v>
      </c>
      <c r="N19" s="5">
        <f t="shared" si="0"/>
        <v>1</v>
      </c>
      <c r="O19">
        <f t="shared" si="1"/>
        <v>0</v>
      </c>
      <c r="P19">
        <f t="shared" si="2"/>
        <v>0</v>
      </c>
      <c r="Q19">
        <f t="shared" si="3"/>
        <v>0</v>
      </c>
      <c r="R19">
        <f t="shared" si="4"/>
        <v>0</v>
      </c>
    </row>
    <row r="20" spans="2:18">
      <c r="B20">
        <v>666573.19999999995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 s="5">
        <f t="shared" si="5"/>
        <v>0</v>
      </c>
      <c r="N20" s="5">
        <f t="shared" si="0"/>
        <v>1</v>
      </c>
      <c r="O20">
        <f t="shared" si="1"/>
        <v>0</v>
      </c>
      <c r="P20">
        <f t="shared" si="2"/>
        <v>0</v>
      </c>
      <c r="Q20">
        <f t="shared" si="3"/>
        <v>0</v>
      </c>
      <c r="R20">
        <f t="shared" si="4"/>
        <v>0</v>
      </c>
    </row>
    <row r="21" spans="2:18">
      <c r="B21">
        <v>591619.94999999995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 s="5">
        <f t="shared" si="5"/>
        <v>0</v>
      </c>
      <c r="N21" s="5">
        <f t="shared" si="0"/>
        <v>1</v>
      </c>
      <c r="O21">
        <f t="shared" si="1"/>
        <v>0</v>
      </c>
      <c r="P21">
        <f t="shared" si="2"/>
        <v>0</v>
      </c>
      <c r="Q21">
        <f t="shared" si="3"/>
        <v>0</v>
      </c>
      <c r="R21">
        <f t="shared" si="4"/>
        <v>0</v>
      </c>
    </row>
    <row r="22" spans="2:18">
      <c r="B22">
        <v>415721.82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 s="5">
        <f t="shared" si="5"/>
        <v>1</v>
      </c>
      <c r="N22" s="5">
        <f t="shared" si="0"/>
        <v>0</v>
      </c>
      <c r="O22">
        <f t="shared" si="1"/>
        <v>0</v>
      </c>
      <c r="P22">
        <f t="shared" si="2"/>
        <v>0</v>
      </c>
      <c r="Q22">
        <f t="shared" si="3"/>
        <v>0</v>
      </c>
      <c r="R22">
        <f t="shared" si="4"/>
        <v>0</v>
      </c>
    </row>
    <row r="23" spans="2:18">
      <c r="B23">
        <v>491905.13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 s="5">
        <f t="shared" si="5"/>
        <v>1</v>
      </c>
      <c r="N23" s="5">
        <f t="shared" si="0"/>
        <v>0</v>
      </c>
      <c r="O23">
        <f t="shared" si="1"/>
        <v>0</v>
      </c>
      <c r="P23">
        <f t="shared" si="2"/>
        <v>0</v>
      </c>
      <c r="Q23">
        <f t="shared" si="3"/>
        <v>0</v>
      </c>
      <c r="R23">
        <f t="shared" si="4"/>
        <v>0</v>
      </c>
    </row>
    <row r="24" spans="2:18">
      <c r="B24">
        <v>555929.4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 s="5">
        <f t="shared" si="5"/>
        <v>1</v>
      </c>
      <c r="N24" s="5">
        <f t="shared" si="0"/>
        <v>0</v>
      </c>
      <c r="O24">
        <f t="shared" si="1"/>
        <v>0</v>
      </c>
      <c r="P24">
        <f t="shared" si="2"/>
        <v>0</v>
      </c>
      <c r="Q24">
        <f t="shared" si="3"/>
        <v>0</v>
      </c>
      <c r="R24">
        <f t="shared" si="4"/>
        <v>0</v>
      </c>
    </row>
    <row r="25" spans="2:18">
      <c r="B25">
        <v>565810.99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 s="5">
        <f t="shared" si="5"/>
        <v>1</v>
      </c>
      <c r="N25" s="5">
        <f t="shared" si="0"/>
        <v>0</v>
      </c>
      <c r="O25">
        <f t="shared" si="1"/>
        <v>0</v>
      </c>
      <c r="P25">
        <f t="shared" si="2"/>
        <v>0</v>
      </c>
      <c r="Q25">
        <f t="shared" si="3"/>
        <v>0</v>
      </c>
      <c r="R25">
        <f t="shared" si="4"/>
        <v>0</v>
      </c>
    </row>
    <row r="26" spans="2:18">
      <c r="B26">
        <v>811771.14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 s="5">
        <f t="shared" si="5"/>
        <v>0</v>
      </c>
      <c r="N26" s="5">
        <f t="shared" si="0"/>
        <v>0</v>
      </c>
      <c r="O26">
        <f t="shared" si="1"/>
        <v>1</v>
      </c>
      <c r="P26">
        <f t="shared" si="2"/>
        <v>0</v>
      </c>
      <c r="Q26">
        <f t="shared" si="3"/>
        <v>0</v>
      </c>
      <c r="R26">
        <f t="shared" si="4"/>
        <v>1</v>
      </c>
    </row>
    <row r="27" spans="2:18">
      <c r="B27">
        <v>800451.94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 s="5">
        <f t="shared" si="5"/>
        <v>0</v>
      </c>
      <c r="N27" s="5">
        <f t="shared" si="0"/>
        <v>0</v>
      </c>
      <c r="O27">
        <f t="shared" si="1"/>
        <v>1</v>
      </c>
      <c r="P27">
        <f t="shared" si="2"/>
        <v>0</v>
      </c>
      <c r="Q27">
        <f t="shared" si="3"/>
        <v>0</v>
      </c>
      <c r="R27">
        <f t="shared" si="4"/>
        <v>1</v>
      </c>
    </row>
    <row r="28" spans="2:18">
      <c r="B28">
        <v>783672.82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 s="5">
        <f t="shared" si="5"/>
        <v>0</v>
      </c>
      <c r="N28" s="5">
        <f t="shared" si="0"/>
        <v>0</v>
      </c>
      <c r="O28">
        <f t="shared" si="1"/>
        <v>1</v>
      </c>
      <c r="P28">
        <f t="shared" si="2"/>
        <v>0</v>
      </c>
      <c r="Q28">
        <f t="shared" si="3"/>
        <v>0</v>
      </c>
      <c r="R28">
        <f t="shared" si="4"/>
        <v>1</v>
      </c>
    </row>
    <row r="29" spans="2:18">
      <c r="B29">
        <v>701641.97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 s="5">
        <f t="shared" si="5"/>
        <v>0</v>
      </c>
      <c r="N29" s="5">
        <f t="shared" si="0"/>
        <v>0</v>
      </c>
      <c r="O29">
        <f t="shared" si="1"/>
        <v>1</v>
      </c>
      <c r="P29">
        <f t="shared" si="2"/>
        <v>0</v>
      </c>
      <c r="Q29">
        <f t="shared" si="3"/>
        <v>0</v>
      </c>
      <c r="R29">
        <f t="shared" si="4"/>
        <v>1</v>
      </c>
    </row>
    <row r="30" spans="2:18">
      <c r="B30">
        <v>511844.41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 s="5">
        <f t="shared" si="5"/>
        <v>0</v>
      </c>
      <c r="N30" s="5">
        <f t="shared" si="0"/>
        <v>0</v>
      </c>
      <c r="O30">
        <f t="shared" si="1"/>
        <v>0</v>
      </c>
      <c r="P30">
        <f t="shared" si="2"/>
        <v>0</v>
      </c>
      <c r="Q30">
        <f t="shared" si="3"/>
        <v>0</v>
      </c>
      <c r="R30">
        <f t="shared" si="4"/>
        <v>0</v>
      </c>
    </row>
    <row r="31" spans="2:18">
      <c r="B31">
        <v>537383.79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 s="5">
        <f t="shared" si="5"/>
        <v>0</v>
      </c>
      <c r="N31" s="5">
        <f t="shared" si="0"/>
        <v>0</v>
      </c>
      <c r="O31">
        <f t="shared" si="1"/>
        <v>0</v>
      </c>
      <c r="P31">
        <f t="shared" si="2"/>
        <v>0</v>
      </c>
      <c r="Q31">
        <f t="shared" si="3"/>
        <v>0</v>
      </c>
      <c r="R31">
        <f t="shared" si="4"/>
        <v>0</v>
      </c>
    </row>
    <row r="32" spans="2:18">
      <c r="B32">
        <v>500173.02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 s="5">
        <f t="shared" si="5"/>
        <v>0</v>
      </c>
      <c r="N32" s="5">
        <f t="shared" si="0"/>
        <v>0</v>
      </c>
      <c r="O32">
        <f t="shared" si="1"/>
        <v>0</v>
      </c>
      <c r="P32">
        <f t="shared" si="2"/>
        <v>0</v>
      </c>
      <c r="Q32">
        <f t="shared" si="3"/>
        <v>0</v>
      </c>
      <c r="R32">
        <f t="shared" si="4"/>
        <v>0</v>
      </c>
    </row>
    <row r="33" spans="2:18">
      <c r="B33">
        <v>427917.38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 s="5">
        <f t="shared" si="5"/>
        <v>0</v>
      </c>
      <c r="N33" s="5">
        <f t="shared" si="0"/>
        <v>0</v>
      </c>
      <c r="O33">
        <f t="shared" si="1"/>
        <v>0</v>
      </c>
      <c r="P33">
        <f t="shared" si="2"/>
        <v>0</v>
      </c>
      <c r="Q33">
        <f t="shared" si="3"/>
        <v>0</v>
      </c>
      <c r="R33">
        <f t="shared" si="4"/>
        <v>0</v>
      </c>
    </row>
    <row r="34" spans="2:18">
      <c r="B34">
        <v>641865.03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 s="5">
        <f t="shared" si="5"/>
        <v>1</v>
      </c>
      <c r="N34" s="5">
        <f t="shared" si="0"/>
        <v>0</v>
      </c>
      <c r="O34">
        <f t="shared" si="1"/>
        <v>0</v>
      </c>
      <c r="P34">
        <f t="shared" si="2"/>
        <v>0</v>
      </c>
      <c r="Q34">
        <f t="shared" si="3"/>
        <v>0</v>
      </c>
      <c r="R34">
        <f t="shared" si="4"/>
        <v>0</v>
      </c>
    </row>
    <row r="35" spans="2:18">
      <c r="B35">
        <v>799477.76000000001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 s="7">
        <v>3.9</v>
      </c>
      <c r="M35" s="5">
        <f t="shared" si="5"/>
        <v>1</v>
      </c>
      <c r="N35" s="5">
        <f t="shared" si="0"/>
        <v>0</v>
      </c>
      <c r="O35">
        <f t="shared" si="1"/>
        <v>0</v>
      </c>
      <c r="P35">
        <f t="shared" si="2"/>
        <v>0</v>
      </c>
      <c r="Q35">
        <f t="shared" si="3"/>
        <v>0</v>
      </c>
      <c r="R35">
        <f t="shared" si="4"/>
        <v>0</v>
      </c>
    </row>
    <row r="36" spans="2:18">
      <c r="B36">
        <v>798952.17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 s="5">
        <f t="shared" si="5"/>
        <v>1</v>
      </c>
      <c r="N36" s="5">
        <f t="shared" si="0"/>
        <v>0</v>
      </c>
      <c r="O36">
        <f t="shared" si="1"/>
        <v>0</v>
      </c>
      <c r="P36">
        <f t="shared" si="2"/>
        <v>0</v>
      </c>
      <c r="Q36">
        <f t="shared" si="3"/>
        <v>0</v>
      </c>
      <c r="R36">
        <f t="shared" si="4"/>
        <v>0</v>
      </c>
    </row>
    <row r="37" spans="2:18">
      <c r="B37">
        <v>800979.78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 s="5">
        <f t="shared" si="5"/>
        <v>1</v>
      </c>
      <c r="N37" s="5">
        <f t="shared" si="0"/>
        <v>0</v>
      </c>
      <c r="O37">
        <f t="shared" si="1"/>
        <v>0</v>
      </c>
      <c r="P37">
        <f t="shared" si="2"/>
        <v>0</v>
      </c>
      <c r="Q37">
        <f t="shared" si="3"/>
        <v>0</v>
      </c>
      <c r="R37">
        <f t="shared" si="4"/>
        <v>0</v>
      </c>
    </row>
    <row r="38" spans="2:18">
      <c r="B38">
        <v>820593.93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 s="5">
        <f t="shared" si="5"/>
        <v>1</v>
      </c>
      <c r="N38" s="5">
        <f t="shared" si="0"/>
        <v>0</v>
      </c>
      <c r="O38">
        <f t="shared" si="1"/>
        <v>0</v>
      </c>
      <c r="P38">
        <f t="shared" si="2"/>
        <v>0</v>
      </c>
      <c r="Q38">
        <f t="shared" si="3"/>
        <v>0</v>
      </c>
      <c r="R38">
        <f t="shared" si="4"/>
        <v>1</v>
      </c>
    </row>
    <row r="39" spans="2:18">
      <c r="B39">
        <v>718330.53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 s="5">
        <f t="shared" si="5"/>
        <v>1</v>
      </c>
      <c r="N39" s="5">
        <f t="shared" si="0"/>
        <v>0</v>
      </c>
      <c r="O39">
        <f t="shared" si="1"/>
        <v>0</v>
      </c>
      <c r="P39">
        <f t="shared" si="2"/>
        <v>0</v>
      </c>
      <c r="Q39">
        <f t="shared" si="3"/>
        <v>0</v>
      </c>
      <c r="R39">
        <f t="shared" si="4"/>
        <v>1</v>
      </c>
    </row>
    <row r="40" spans="2:18">
      <c r="B40">
        <v>736633.4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 s="5">
        <f t="shared" si="5"/>
        <v>1</v>
      </c>
      <c r="N40" s="5">
        <f t="shared" si="0"/>
        <v>0</v>
      </c>
      <c r="O40">
        <f t="shared" si="1"/>
        <v>0</v>
      </c>
      <c r="P40">
        <f t="shared" si="2"/>
        <v>0</v>
      </c>
      <c r="Q40">
        <f t="shared" si="3"/>
        <v>0</v>
      </c>
      <c r="R40">
        <f t="shared" si="4"/>
        <v>1</v>
      </c>
    </row>
    <row r="41" spans="2:18">
      <c r="B41">
        <v>828623.85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 s="5">
        <f t="shared" si="5"/>
        <v>1</v>
      </c>
      <c r="N41" s="5">
        <f t="shared" si="0"/>
        <v>0</v>
      </c>
      <c r="O41">
        <f t="shared" si="1"/>
        <v>0</v>
      </c>
      <c r="P41">
        <f t="shared" si="2"/>
        <v>0</v>
      </c>
      <c r="Q41">
        <f t="shared" si="3"/>
        <v>0</v>
      </c>
      <c r="R41">
        <f t="shared" si="4"/>
        <v>1</v>
      </c>
    </row>
    <row r="42" spans="2:18">
      <c r="B42">
        <v>592195.85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 s="5">
        <f t="shared" si="5"/>
        <v>0</v>
      </c>
      <c r="N42" s="5">
        <f t="shared" si="0"/>
        <v>0</v>
      </c>
      <c r="O42">
        <f t="shared" si="1"/>
        <v>0</v>
      </c>
      <c r="P42">
        <f t="shared" si="2"/>
        <v>0</v>
      </c>
      <c r="Q42">
        <f t="shared" si="3"/>
        <v>0</v>
      </c>
      <c r="R42">
        <f t="shared" si="4"/>
        <v>1</v>
      </c>
    </row>
    <row r="43" spans="2:18">
      <c r="B43">
        <v>532644.46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 s="5">
        <f t="shared" si="5"/>
        <v>0</v>
      </c>
      <c r="N43" s="5">
        <f t="shared" si="0"/>
        <v>0</v>
      </c>
      <c r="O43">
        <f t="shared" si="1"/>
        <v>0</v>
      </c>
      <c r="P43">
        <f t="shared" si="2"/>
        <v>0</v>
      </c>
      <c r="Q43">
        <f t="shared" si="3"/>
        <v>0</v>
      </c>
      <c r="R43">
        <f t="shared" si="4"/>
        <v>1</v>
      </c>
    </row>
    <row r="44" spans="2:18">
      <c r="B44">
        <v>657429.18000000005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 s="5">
        <f t="shared" si="5"/>
        <v>0</v>
      </c>
      <c r="N44" s="5">
        <f t="shared" si="0"/>
        <v>0</v>
      </c>
      <c r="O44">
        <f t="shared" si="1"/>
        <v>0</v>
      </c>
      <c r="P44">
        <f t="shared" si="2"/>
        <v>0</v>
      </c>
      <c r="Q44">
        <f t="shared" si="3"/>
        <v>0</v>
      </c>
      <c r="R44">
        <f t="shared" si="4"/>
        <v>1</v>
      </c>
    </row>
    <row r="45" spans="2:18">
      <c r="B45">
        <v>605178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 s="5">
        <f t="shared" si="5"/>
        <v>0</v>
      </c>
      <c r="N45" s="5">
        <f t="shared" si="0"/>
        <v>0</v>
      </c>
      <c r="O45">
        <f t="shared" si="1"/>
        <v>0</v>
      </c>
      <c r="P45">
        <f t="shared" si="2"/>
        <v>0</v>
      </c>
      <c r="Q45">
        <f t="shared" si="3"/>
        <v>0</v>
      </c>
      <c r="R45">
        <f t="shared" si="4"/>
        <v>1</v>
      </c>
    </row>
    <row r="46" spans="2:18">
      <c r="B46">
        <v>595467.6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 s="5">
        <f t="shared" si="5"/>
        <v>0</v>
      </c>
      <c r="N46" s="5">
        <f t="shared" si="0"/>
        <v>0</v>
      </c>
      <c r="O46">
        <f t="shared" si="1"/>
        <v>1</v>
      </c>
      <c r="P46">
        <f t="shared" si="2"/>
        <v>0</v>
      </c>
      <c r="Q46">
        <f t="shared" si="3"/>
        <v>0</v>
      </c>
      <c r="R46">
        <f t="shared" si="4"/>
        <v>0</v>
      </c>
    </row>
    <row r="47" spans="2:18">
      <c r="B47">
        <v>599603.4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 s="5">
        <f t="shared" si="5"/>
        <v>0</v>
      </c>
      <c r="N47" s="5">
        <f t="shared" si="0"/>
        <v>0</v>
      </c>
      <c r="O47">
        <f t="shared" si="1"/>
        <v>1</v>
      </c>
      <c r="P47">
        <f t="shared" si="2"/>
        <v>0</v>
      </c>
      <c r="Q47">
        <f t="shared" si="3"/>
        <v>0</v>
      </c>
      <c r="R47">
        <f t="shared" si="4"/>
        <v>0</v>
      </c>
    </row>
    <row r="48" spans="2:18">
      <c r="B48">
        <v>614800.09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 s="5">
        <f t="shared" si="5"/>
        <v>0</v>
      </c>
      <c r="N48" s="5">
        <f t="shared" si="0"/>
        <v>0</v>
      </c>
      <c r="O48">
        <f t="shared" si="1"/>
        <v>1</v>
      </c>
      <c r="P48">
        <f t="shared" si="2"/>
        <v>0</v>
      </c>
      <c r="Q48">
        <f t="shared" si="3"/>
        <v>0</v>
      </c>
      <c r="R48">
        <f t="shared" si="4"/>
        <v>0</v>
      </c>
    </row>
    <row r="49" spans="2:18">
      <c r="B49">
        <v>585365.73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 s="5">
        <f t="shared" si="5"/>
        <v>0</v>
      </c>
      <c r="N49" s="5">
        <f t="shared" si="0"/>
        <v>0</v>
      </c>
      <c r="O49">
        <f t="shared" si="1"/>
        <v>1</v>
      </c>
      <c r="P49">
        <f t="shared" si="2"/>
        <v>0</v>
      </c>
      <c r="Q49">
        <f t="shared" si="3"/>
        <v>0</v>
      </c>
      <c r="R49">
        <f t="shared" si="4"/>
        <v>0</v>
      </c>
    </row>
    <row r="50" spans="2:18">
      <c r="B50">
        <v>622811.74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 s="5">
        <f t="shared" si="5"/>
        <v>1</v>
      </c>
      <c r="N50" s="5">
        <f t="shared" si="0"/>
        <v>0</v>
      </c>
      <c r="O50">
        <f t="shared" si="1"/>
        <v>0</v>
      </c>
      <c r="P50">
        <f t="shared" si="2"/>
        <v>0</v>
      </c>
      <c r="Q50">
        <f t="shared" si="3"/>
        <v>0</v>
      </c>
      <c r="R50">
        <f t="shared" si="4"/>
        <v>1</v>
      </c>
    </row>
    <row r="51" spans="2:18">
      <c r="B51">
        <v>603297.56999999995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 s="5">
        <f t="shared" si="5"/>
        <v>1</v>
      </c>
      <c r="N51" s="5">
        <f t="shared" si="0"/>
        <v>0</v>
      </c>
      <c r="O51">
        <f t="shared" si="1"/>
        <v>0</v>
      </c>
      <c r="P51">
        <f t="shared" si="2"/>
        <v>0</v>
      </c>
      <c r="Q51">
        <f t="shared" si="3"/>
        <v>0</v>
      </c>
      <c r="R51">
        <f t="shared" si="4"/>
        <v>1</v>
      </c>
    </row>
    <row r="52" spans="2:18">
      <c r="B52">
        <v>625672.86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 s="5">
        <f t="shared" si="5"/>
        <v>1</v>
      </c>
      <c r="N52" s="5">
        <f t="shared" si="0"/>
        <v>0</v>
      </c>
      <c r="O52">
        <f t="shared" si="1"/>
        <v>0</v>
      </c>
      <c r="P52">
        <f t="shared" si="2"/>
        <v>0</v>
      </c>
      <c r="Q52">
        <f t="shared" si="3"/>
        <v>0</v>
      </c>
      <c r="R52">
        <f t="shared" si="4"/>
        <v>1</v>
      </c>
    </row>
    <row r="53" spans="2:18">
      <c r="B53">
        <v>773815.14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 s="5">
        <f t="shared" si="5"/>
        <v>1</v>
      </c>
      <c r="N53" s="5">
        <f t="shared" si="0"/>
        <v>0</v>
      </c>
      <c r="O53">
        <f t="shared" si="1"/>
        <v>0</v>
      </c>
      <c r="P53">
        <f t="shared" si="2"/>
        <v>0</v>
      </c>
      <c r="Q53">
        <f t="shared" si="3"/>
        <v>0</v>
      </c>
      <c r="R53">
        <f t="shared" si="4"/>
        <v>1</v>
      </c>
    </row>
    <row r="54" spans="2:18">
      <c r="B54">
        <v>463534.25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 s="5">
        <f t="shared" si="5"/>
        <v>0</v>
      </c>
      <c r="N54" s="5">
        <f t="shared" si="0"/>
        <v>0</v>
      </c>
      <c r="O54">
        <f t="shared" si="1"/>
        <v>1</v>
      </c>
      <c r="P54">
        <f t="shared" si="2"/>
        <v>0</v>
      </c>
      <c r="Q54">
        <f t="shared" si="3"/>
        <v>1</v>
      </c>
      <c r="R54">
        <f t="shared" si="4"/>
        <v>0</v>
      </c>
    </row>
    <row r="55" spans="2:18">
      <c r="B55">
        <v>746677.75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 s="5">
        <f t="shared" si="5"/>
        <v>0</v>
      </c>
      <c r="N55" s="5">
        <f t="shared" si="0"/>
        <v>0</v>
      </c>
      <c r="O55">
        <f t="shared" si="1"/>
        <v>1</v>
      </c>
      <c r="P55">
        <f t="shared" si="2"/>
        <v>0</v>
      </c>
      <c r="Q55">
        <f t="shared" si="3"/>
        <v>1</v>
      </c>
      <c r="R55">
        <f t="shared" si="4"/>
        <v>0</v>
      </c>
    </row>
    <row r="56" spans="2:18">
      <c r="B56">
        <v>720852.5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 s="5">
        <f t="shared" si="5"/>
        <v>0</v>
      </c>
      <c r="N56" s="5">
        <f t="shared" si="0"/>
        <v>0</v>
      </c>
      <c r="O56">
        <f t="shared" si="1"/>
        <v>1</v>
      </c>
      <c r="P56">
        <f t="shared" si="2"/>
        <v>0</v>
      </c>
      <c r="Q56">
        <f t="shared" si="3"/>
        <v>1</v>
      </c>
      <c r="R56">
        <f t="shared" si="4"/>
        <v>0</v>
      </c>
    </row>
    <row r="57" spans="2:18">
      <c r="B57">
        <v>487464.91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 s="5">
        <f t="shared" si="5"/>
        <v>0</v>
      </c>
      <c r="N57" s="5">
        <f t="shared" si="0"/>
        <v>0</v>
      </c>
      <c r="O57">
        <f t="shared" si="1"/>
        <v>1</v>
      </c>
      <c r="P57">
        <f t="shared" si="2"/>
        <v>0</v>
      </c>
      <c r="Q57">
        <f t="shared" si="3"/>
        <v>1</v>
      </c>
      <c r="R57">
        <f t="shared" si="4"/>
        <v>0</v>
      </c>
    </row>
    <row r="58" spans="2:18">
      <c r="B58">
        <v>518049.26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 s="5">
        <f t="shared" si="5"/>
        <v>0</v>
      </c>
      <c r="N58" s="5">
        <f t="shared" si="0"/>
        <v>0</v>
      </c>
      <c r="O58">
        <f t="shared" si="1"/>
        <v>0</v>
      </c>
      <c r="P58">
        <f t="shared" si="2"/>
        <v>1</v>
      </c>
      <c r="Q58">
        <f t="shared" si="3"/>
        <v>0</v>
      </c>
      <c r="R58">
        <f t="shared" si="4"/>
        <v>0</v>
      </c>
    </row>
    <row r="59" spans="2:18">
      <c r="B59">
        <v>500298.48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 s="5">
        <f t="shared" si="5"/>
        <v>0</v>
      </c>
      <c r="N59" s="5">
        <f t="shared" si="0"/>
        <v>0</v>
      </c>
      <c r="O59">
        <f t="shared" si="1"/>
        <v>0</v>
      </c>
      <c r="P59">
        <f t="shared" si="2"/>
        <v>1</v>
      </c>
      <c r="Q59">
        <f t="shared" si="3"/>
        <v>0</v>
      </c>
      <c r="R59">
        <f t="shared" si="4"/>
        <v>0</v>
      </c>
    </row>
    <row r="60" spans="2:18">
      <c r="B60">
        <v>617291.15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 s="5">
        <f t="shared" si="5"/>
        <v>0</v>
      </c>
      <c r="N60" s="5">
        <f t="shared" si="0"/>
        <v>0</v>
      </c>
      <c r="O60">
        <f t="shared" si="1"/>
        <v>0</v>
      </c>
      <c r="P60">
        <f t="shared" si="2"/>
        <v>1</v>
      </c>
      <c r="Q60">
        <f t="shared" si="3"/>
        <v>0</v>
      </c>
      <c r="R60">
        <f t="shared" si="4"/>
        <v>0</v>
      </c>
    </row>
    <row r="61" spans="2:18">
      <c r="B61">
        <v>553756.43000000005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 s="5">
        <f t="shared" si="5"/>
        <v>0</v>
      </c>
      <c r="N61" s="5">
        <f t="shared" si="0"/>
        <v>0</v>
      </c>
      <c r="O61">
        <f t="shared" si="1"/>
        <v>0</v>
      </c>
      <c r="P61">
        <f t="shared" si="2"/>
        <v>1</v>
      </c>
      <c r="Q61">
        <f t="shared" si="3"/>
        <v>0</v>
      </c>
      <c r="R61">
        <f t="shared" si="4"/>
        <v>0</v>
      </c>
    </row>
    <row r="62" spans="2:18">
      <c r="B62">
        <v>749559.71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 s="5">
        <f t="shared" si="5"/>
        <v>0</v>
      </c>
      <c r="N62" s="5">
        <f t="shared" si="0"/>
        <v>1</v>
      </c>
      <c r="O62">
        <f t="shared" si="1"/>
        <v>0</v>
      </c>
      <c r="P62">
        <f t="shared" si="2"/>
        <v>0</v>
      </c>
      <c r="Q62">
        <f t="shared" si="3"/>
        <v>1</v>
      </c>
      <c r="R62">
        <f t="shared" si="4"/>
        <v>0</v>
      </c>
    </row>
    <row r="63" spans="2:18">
      <c r="B63">
        <v>615966.48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 s="5">
        <f t="shared" si="5"/>
        <v>0</v>
      </c>
      <c r="N63" s="5">
        <f t="shared" si="0"/>
        <v>1</v>
      </c>
      <c r="O63">
        <f t="shared" si="1"/>
        <v>0</v>
      </c>
      <c r="P63">
        <f t="shared" si="2"/>
        <v>0</v>
      </c>
      <c r="Q63">
        <f t="shared" si="3"/>
        <v>1</v>
      </c>
      <c r="R63">
        <f t="shared" si="4"/>
        <v>0</v>
      </c>
    </row>
    <row r="64" spans="2:18">
      <c r="B64">
        <v>572011.19999999995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 s="5">
        <f t="shared" si="5"/>
        <v>0</v>
      </c>
      <c r="N64" s="5">
        <f t="shared" si="0"/>
        <v>1</v>
      </c>
      <c r="O64">
        <f t="shared" si="1"/>
        <v>0</v>
      </c>
      <c r="P64">
        <f t="shared" si="2"/>
        <v>0</v>
      </c>
      <c r="Q64">
        <f t="shared" si="3"/>
        <v>1</v>
      </c>
      <c r="R64">
        <f t="shared" si="4"/>
        <v>0</v>
      </c>
    </row>
    <row r="65" spans="2:18">
      <c r="B65">
        <v>761860.19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 s="5">
        <f t="shared" si="5"/>
        <v>0</v>
      </c>
      <c r="N65" s="5">
        <f t="shared" si="0"/>
        <v>1</v>
      </c>
      <c r="O65">
        <f t="shared" si="1"/>
        <v>0</v>
      </c>
      <c r="P65">
        <f t="shared" si="2"/>
        <v>0</v>
      </c>
      <c r="Q65">
        <f t="shared" si="3"/>
        <v>1</v>
      </c>
      <c r="R65">
        <f t="shared" si="4"/>
        <v>0</v>
      </c>
    </row>
    <row r="66" spans="2:18">
      <c r="B66">
        <v>784502.68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 s="5">
        <f t="shared" si="5"/>
        <v>0</v>
      </c>
      <c r="N66" s="5">
        <f t="shared" si="0"/>
        <v>0</v>
      </c>
      <c r="O66">
        <f t="shared" si="1"/>
        <v>1</v>
      </c>
      <c r="P66">
        <f t="shared" si="2"/>
        <v>0</v>
      </c>
      <c r="Q66">
        <f t="shared" si="3"/>
        <v>1</v>
      </c>
      <c r="R66">
        <f t="shared" si="4"/>
        <v>0</v>
      </c>
    </row>
    <row r="67" spans="2:18">
      <c r="B67">
        <v>717141.55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 s="5">
        <f t="shared" si="5"/>
        <v>0</v>
      </c>
      <c r="N67" s="5">
        <f t="shared" ref="N67:N130" si="6">IF($C67="South",1,0)</f>
        <v>0</v>
      </c>
      <c r="O67">
        <f t="shared" ref="O67:O130" si="7">IF($C67="West",1,0)</f>
        <v>1</v>
      </c>
      <c r="P67">
        <f t="shared" ref="P67:P130" si="8">IF($D67="Airport",1,0)</f>
        <v>0</v>
      </c>
      <c r="Q67">
        <f t="shared" ref="Q67:Q130" si="9">IF($D67="High Street",1,0)</f>
        <v>1</v>
      </c>
      <c r="R67">
        <f t="shared" ref="R67:R130" si="10">IF($D67="Mall",1,0)</f>
        <v>0</v>
      </c>
    </row>
    <row r="68" spans="2:18">
      <c r="B68">
        <v>685379.08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 s="5">
        <f t="shared" ref="M68:M131" si="11">IF($C68="North",1,0)</f>
        <v>0</v>
      </c>
      <c r="N68" s="5">
        <f t="shared" si="6"/>
        <v>0</v>
      </c>
      <c r="O68">
        <f t="shared" si="7"/>
        <v>1</v>
      </c>
      <c r="P68">
        <f t="shared" si="8"/>
        <v>0</v>
      </c>
      <c r="Q68">
        <f t="shared" si="9"/>
        <v>1</v>
      </c>
      <c r="R68">
        <f t="shared" si="10"/>
        <v>0</v>
      </c>
    </row>
    <row r="69" spans="2:18">
      <c r="B69">
        <v>740496.65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 s="5">
        <f t="shared" si="11"/>
        <v>0</v>
      </c>
      <c r="N69" s="5">
        <f t="shared" si="6"/>
        <v>0</v>
      </c>
      <c r="O69">
        <f t="shared" si="7"/>
        <v>1</v>
      </c>
      <c r="P69">
        <f t="shared" si="8"/>
        <v>0</v>
      </c>
      <c r="Q69">
        <f t="shared" si="9"/>
        <v>1</v>
      </c>
      <c r="R69">
        <f t="shared" si="10"/>
        <v>0</v>
      </c>
    </row>
    <row r="70" spans="2:18">
      <c r="B70">
        <v>661927.14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 s="5">
        <f t="shared" si="11"/>
        <v>0</v>
      </c>
      <c r="N70" s="5">
        <f t="shared" si="6"/>
        <v>0</v>
      </c>
      <c r="O70">
        <f t="shared" si="7"/>
        <v>0</v>
      </c>
      <c r="P70">
        <f t="shared" si="8"/>
        <v>0</v>
      </c>
      <c r="Q70">
        <f t="shared" si="9"/>
        <v>1</v>
      </c>
      <c r="R70">
        <f t="shared" si="10"/>
        <v>0</v>
      </c>
    </row>
    <row r="71" spans="2:18">
      <c r="B71">
        <v>479050.5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 s="5">
        <f t="shared" si="11"/>
        <v>0</v>
      </c>
      <c r="N71" s="5">
        <f t="shared" si="6"/>
        <v>0</v>
      </c>
      <c r="O71">
        <f t="shared" si="7"/>
        <v>0</v>
      </c>
      <c r="P71">
        <f t="shared" si="8"/>
        <v>0</v>
      </c>
      <c r="Q71">
        <f t="shared" si="9"/>
        <v>1</v>
      </c>
      <c r="R71">
        <f t="shared" si="10"/>
        <v>0</v>
      </c>
    </row>
    <row r="72" spans="2:18">
      <c r="B72">
        <v>605023.87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 s="5">
        <f t="shared" si="11"/>
        <v>0</v>
      </c>
      <c r="N72" s="5">
        <f t="shared" si="6"/>
        <v>0</v>
      </c>
      <c r="O72">
        <f t="shared" si="7"/>
        <v>0</v>
      </c>
      <c r="P72">
        <f t="shared" si="8"/>
        <v>0</v>
      </c>
      <c r="Q72">
        <f t="shared" si="9"/>
        <v>1</v>
      </c>
      <c r="R72">
        <f t="shared" si="10"/>
        <v>0</v>
      </c>
    </row>
    <row r="73" spans="2:18">
      <c r="B73">
        <v>674774.09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 s="6">
        <v>4.5999999999999996</v>
      </c>
      <c r="K73">
        <v>0</v>
      </c>
      <c r="L73">
        <v>3.5</v>
      </c>
      <c r="M73" s="5">
        <f t="shared" si="11"/>
        <v>0</v>
      </c>
      <c r="N73" s="5">
        <f t="shared" si="6"/>
        <v>0</v>
      </c>
      <c r="O73">
        <f t="shared" si="7"/>
        <v>0</v>
      </c>
      <c r="P73">
        <f t="shared" si="8"/>
        <v>0</v>
      </c>
      <c r="Q73">
        <f t="shared" si="9"/>
        <v>1</v>
      </c>
      <c r="R73">
        <f t="shared" si="10"/>
        <v>0</v>
      </c>
    </row>
    <row r="74" spans="2:18">
      <c r="B74">
        <v>616069.41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 s="5">
        <f t="shared" si="11"/>
        <v>0</v>
      </c>
      <c r="N74" s="5">
        <f t="shared" si="6"/>
        <v>0</v>
      </c>
      <c r="O74">
        <f t="shared" si="7"/>
        <v>0</v>
      </c>
      <c r="P74">
        <f t="shared" si="8"/>
        <v>0</v>
      </c>
      <c r="Q74">
        <f t="shared" si="9"/>
        <v>0</v>
      </c>
      <c r="R74">
        <f t="shared" si="10"/>
        <v>0</v>
      </c>
    </row>
    <row r="75" spans="2:18">
      <c r="B75">
        <v>630829.93999999994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 s="5">
        <f t="shared" si="11"/>
        <v>0</v>
      </c>
      <c r="N75" s="5">
        <f t="shared" si="6"/>
        <v>0</v>
      </c>
      <c r="O75">
        <f t="shared" si="7"/>
        <v>0</v>
      </c>
      <c r="P75">
        <f t="shared" si="8"/>
        <v>0</v>
      </c>
      <c r="Q75">
        <f t="shared" si="9"/>
        <v>0</v>
      </c>
      <c r="R75">
        <f t="shared" si="10"/>
        <v>0</v>
      </c>
    </row>
    <row r="76" spans="2:18">
      <c r="B76">
        <v>788087.68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 s="5">
        <f t="shared" si="11"/>
        <v>0</v>
      </c>
      <c r="N76" s="5">
        <f t="shared" si="6"/>
        <v>0</v>
      </c>
      <c r="O76">
        <f t="shared" si="7"/>
        <v>0</v>
      </c>
      <c r="P76">
        <f t="shared" si="8"/>
        <v>0</v>
      </c>
      <c r="Q76">
        <f t="shared" si="9"/>
        <v>0</v>
      </c>
      <c r="R76">
        <f t="shared" si="10"/>
        <v>0</v>
      </c>
    </row>
    <row r="77" spans="2:18">
      <c r="B77">
        <v>680840.36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 s="5">
        <f t="shared" si="11"/>
        <v>0</v>
      </c>
      <c r="N77" s="5">
        <f t="shared" si="6"/>
        <v>0</v>
      </c>
      <c r="O77">
        <f t="shared" si="7"/>
        <v>0</v>
      </c>
      <c r="P77">
        <f t="shared" si="8"/>
        <v>0</v>
      </c>
      <c r="Q77">
        <f t="shared" si="9"/>
        <v>0</v>
      </c>
      <c r="R77">
        <f t="shared" si="10"/>
        <v>0</v>
      </c>
    </row>
    <row r="78" spans="2:18">
      <c r="B78">
        <v>643657.47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 s="5">
        <f t="shared" si="11"/>
        <v>0</v>
      </c>
      <c r="N78" s="5">
        <f t="shared" si="6"/>
        <v>1</v>
      </c>
      <c r="O78">
        <f t="shared" si="7"/>
        <v>0</v>
      </c>
      <c r="P78">
        <f t="shared" si="8"/>
        <v>0</v>
      </c>
      <c r="Q78">
        <f t="shared" si="9"/>
        <v>1</v>
      </c>
      <c r="R78">
        <f t="shared" si="10"/>
        <v>0</v>
      </c>
    </row>
    <row r="79" spans="2:18">
      <c r="B79">
        <v>691112.6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 s="5">
        <f t="shared" si="11"/>
        <v>0</v>
      </c>
      <c r="N79" s="5">
        <f t="shared" si="6"/>
        <v>1</v>
      </c>
      <c r="O79">
        <f t="shared" si="7"/>
        <v>0</v>
      </c>
      <c r="P79">
        <f t="shared" si="8"/>
        <v>0</v>
      </c>
      <c r="Q79">
        <f t="shared" si="9"/>
        <v>1</v>
      </c>
      <c r="R79">
        <f t="shared" si="10"/>
        <v>0</v>
      </c>
    </row>
    <row r="80" spans="2:18">
      <c r="B80">
        <v>776922.17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 s="5">
        <f t="shared" si="11"/>
        <v>0</v>
      </c>
      <c r="N80" s="5">
        <f t="shared" si="6"/>
        <v>1</v>
      </c>
      <c r="O80">
        <f t="shared" si="7"/>
        <v>0</v>
      </c>
      <c r="P80">
        <f t="shared" si="8"/>
        <v>0</v>
      </c>
      <c r="Q80">
        <f t="shared" si="9"/>
        <v>1</v>
      </c>
      <c r="R80">
        <f t="shared" si="10"/>
        <v>0</v>
      </c>
    </row>
    <row r="81" spans="2:18">
      <c r="B81">
        <v>636561.34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 s="5">
        <f t="shared" si="11"/>
        <v>0</v>
      </c>
      <c r="N81" s="5">
        <f t="shared" si="6"/>
        <v>1</v>
      </c>
      <c r="O81">
        <f t="shared" si="7"/>
        <v>0</v>
      </c>
      <c r="P81">
        <f t="shared" si="8"/>
        <v>0</v>
      </c>
      <c r="Q81">
        <f t="shared" si="9"/>
        <v>1</v>
      </c>
      <c r="R81">
        <f t="shared" si="10"/>
        <v>0</v>
      </c>
    </row>
    <row r="82" spans="2:18">
      <c r="B82">
        <v>621369.57999999996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 s="5">
        <f t="shared" si="11"/>
        <v>0</v>
      </c>
      <c r="N82" s="5">
        <f t="shared" si="6"/>
        <v>0</v>
      </c>
      <c r="O82">
        <f t="shared" si="7"/>
        <v>1</v>
      </c>
      <c r="P82">
        <f t="shared" si="8"/>
        <v>0</v>
      </c>
      <c r="Q82">
        <f t="shared" si="9"/>
        <v>0</v>
      </c>
      <c r="R82">
        <f t="shared" si="10"/>
        <v>1</v>
      </c>
    </row>
    <row r="83" spans="2:18">
      <c r="B83">
        <v>682208.01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 s="5">
        <f t="shared" si="11"/>
        <v>0</v>
      </c>
      <c r="N83" s="5">
        <f t="shared" si="6"/>
        <v>0</v>
      </c>
      <c r="O83">
        <f t="shared" si="7"/>
        <v>1</v>
      </c>
      <c r="P83">
        <f t="shared" si="8"/>
        <v>0</v>
      </c>
      <c r="Q83">
        <f t="shared" si="9"/>
        <v>0</v>
      </c>
      <c r="R83">
        <f t="shared" si="10"/>
        <v>1</v>
      </c>
    </row>
    <row r="84" spans="2:18">
      <c r="B84">
        <v>727241.86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 s="5">
        <f t="shared" si="11"/>
        <v>0</v>
      </c>
      <c r="N84" s="5">
        <f t="shared" si="6"/>
        <v>0</v>
      </c>
      <c r="O84">
        <f t="shared" si="7"/>
        <v>1</v>
      </c>
      <c r="P84">
        <f t="shared" si="8"/>
        <v>0</v>
      </c>
      <c r="Q84">
        <f t="shared" si="9"/>
        <v>0</v>
      </c>
      <c r="R84">
        <f t="shared" si="10"/>
        <v>1</v>
      </c>
    </row>
    <row r="85" spans="2:18">
      <c r="B85">
        <v>569100.78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 s="5">
        <f t="shared" si="11"/>
        <v>0</v>
      </c>
      <c r="N85" s="5">
        <f t="shared" si="6"/>
        <v>0</v>
      </c>
      <c r="O85">
        <f t="shared" si="7"/>
        <v>1</v>
      </c>
      <c r="P85">
        <f t="shared" si="8"/>
        <v>0</v>
      </c>
      <c r="Q85">
        <f t="shared" si="9"/>
        <v>0</v>
      </c>
      <c r="R85">
        <f t="shared" si="10"/>
        <v>1</v>
      </c>
    </row>
    <row r="86" spans="2:18">
      <c r="B86">
        <v>574436.29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 s="5">
        <f t="shared" si="11"/>
        <v>0</v>
      </c>
      <c r="N86" s="5">
        <f t="shared" si="6"/>
        <v>0</v>
      </c>
      <c r="O86">
        <f t="shared" si="7"/>
        <v>1</v>
      </c>
      <c r="P86">
        <f t="shared" si="8"/>
        <v>0</v>
      </c>
      <c r="Q86">
        <f t="shared" si="9"/>
        <v>1</v>
      </c>
      <c r="R86">
        <f t="shared" si="10"/>
        <v>0</v>
      </c>
    </row>
    <row r="87" spans="2:18">
      <c r="B87">
        <v>611766.72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 s="7">
        <v>3.9</v>
      </c>
      <c r="M87" s="5">
        <f t="shared" si="11"/>
        <v>0</v>
      </c>
      <c r="N87" s="5">
        <f t="shared" si="6"/>
        <v>0</v>
      </c>
      <c r="O87">
        <f t="shared" si="7"/>
        <v>1</v>
      </c>
      <c r="P87">
        <f t="shared" si="8"/>
        <v>0</v>
      </c>
      <c r="Q87">
        <f t="shared" si="9"/>
        <v>1</v>
      </c>
      <c r="R87">
        <f t="shared" si="10"/>
        <v>0</v>
      </c>
    </row>
    <row r="88" spans="2:18">
      <c r="B88">
        <v>614596.31999999995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 s="5">
        <f t="shared" si="11"/>
        <v>0</v>
      </c>
      <c r="N88" s="5">
        <f t="shared" si="6"/>
        <v>0</v>
      </c>
      <c r="O88">
        <f t="shared" si="7"/>
        <v>1</v>
      </c>
      <c r="P88">
        <f t="shared" si="8"/>
        <v>0</v>
      </c>
      <c r="Q88">
        <f t="shared" si="9"/>
        <v>1</v>
      </c>
      <c r="R88">
        <f t="shared" si="10"/>
        <v>0</v>
      </c>
    </row>
    <row r="89" spans="2:18">
      <c r="B89">
        <v>450711.92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 s="5">
        <f t="shared" si="11"/>
        <v>0</v>
      </c>
      <c r="N89" s="5">
        <f t="shared" si="6"/>
        <v>0</v>
      </c>
      <c r="O89">
        <f t="shared" si="7"/>
        <v>1</v>
      </c>
      <c r="P89">
        <f t="shared" si="8"/>
        <v>0</v>
      </c>
      <c r="Q89">
        <f t="shared" si="9"/>
        <v>1</v>
      </c>
      <c r="R89">
        <f t="shared" si="10"/>
        <v>0</v>
      </c>
    </row>
    <row r="90" spans="2:18">
      <c r="B90">
        <v>711213.46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 s="5">
        <f t="shared" si="11"/>
        <v>0</v>
      </c>
      <c r="N90" s="5">
        <f t="shared" si="6"/>
        <v>1</v>
      </c>
      <c r="O90">
        <f t="shared" si="7"/>
        <v>0</v>
      </c>
      <c r="P90">
        <f t="shared" si="8"/>
        <v>0</v>
      </c>
      <c r="Q90">
        <f t="shared" si="9"/>
        <v>0</v>
      </c>
      <c r="R90">
        <f t="shared" si="10"/>
        <v>1</v>
      </c>
    </row>
    <row r="91" spans="2:18">
      <c r="B91">
        <v>627171.9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 s="5">
        <f t="shared" si="11"/>
        <v>0</v>
      </c>
      <c r="N91" s="5">
        <f t="shared" si="6"/>
        <v>1</v>
      </c>
      <c r="O91">
        <f t="shared" si="7"/>
        <v>0</v>
      </c>
      <c r="P91">
        <f t="shared" si="8"/>
        <v>0</v>
      </c>
      <c r="Q91">
        <f t="shared" si="9"/>
        <v>0</v>
      </c>
      <c r="R91">
        <f t="shared" si="10"/>
        <v>1</v>
      </c>
    </row>
    <row r="92" spans="2:18">
      <c r="B92">
        <v>739852.58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 s="5">
        <f t="shared" si="11"/>
        <v>0</v>
      </c>
      <c r="N92" s="5">
        <f t="shared" si="6"/>
        <v>1</v>
      </c>
      <c r="O92">
        <f t="shared" si="7"/>
        <v>0</v>
      </c>
      <c r="P92">
        <f t="shared" si="8"/>
        <v>0</v>
      </c>
      <c r="Q92">
        <f t="shared" si="9"/>
        <v>0</v>
      </c>
      <c r="R92">
        <f t="shared" si="10"/>
        <v>1</v>
      </c>
    </row>
    <row r="93" spans="2:18">
      <c r="B93">
        <v>586307.22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 s="5">
        <f t="shared" si="11"/>
        <v>0</v>
      </c>
      <c r="N93" s="5">
        <f t="shared" si="6"/>
        <v>1</v>
      </c>
      <c r="O93">
        <f t="shared" si="7"/>
        <v>0</v>
      </c>
      <c r="P93">
        <f t="shared" si="8"/>
        <v>0</v>
      </c>
      <c r="Q93">
        <f t="shared" si="9"/>
        <v>0</v>
      </c>
      <c r="R93">
        <f t="shared" si="10"/>
        <v>1</v>
      </c>
    </row>
    <row r="94" spans="2:18">
      <c r="B94">
        <v>585937.48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 s="5">
        <f t="shared" si="11"/>
        <v>0</v>
      </c>
      <c r="N94" s="5">
        <f t="shared" si="6"/>
        <v>0</v>
      </c>
      <c r="O94">
        <f t="shared" si="7"/>
        <v>1</v>
      </c>
      <c r="P94">
        <f t="shared" si="8"/>
        <v>0</v>
      </c>
      <c r="Q94">
        <f t="shared" si="9"/>
        <v>0</v>
      </c>
      <c r="R94">
        <f t="shared" si="10"/>
        <v>0</v>
      </c>
    </row>
    <row r="95" spans="2:18">
      <c r="B95">
        <v>753473.55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 s="5">
        <f t="shared" si="11"/>
        <v>0</v>
      </c>
      <c r="N95" s="5">
        <f t="shared" si="6"/>
        <v>0</v>
      </c>
      <c r="O95">
        <f t="shared" si="7"/>
        <v>1</v>
      </c>
      <c r="P95">
        <f t="shared" si="8"/>
        <v>0</v>
      </c>
      <c r="Q95">
        <f t="shared" si="9"/>
        <v>0</v>
      </c>
      <c r="R95">
        <f t="shared" si="10"/>
        <v>0</v>
      </c>
    </row>
    <row r="96" spans="2:18">
      <c r="B96">
        <v>838250.32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 s="5">
        <f t="shared" si="11"/>
        <v>0</v>
      </c>
      <c r="N96" s="5">
        <f t="shared" si="6"/>
        <v>0</v>
      </c>
      <c r="O96">
        <f t="shared" si="7"/>
        <v>1</v>
      </c>
      <c r="P96">
        <f t="shared" si="8"/>
        <v>0</v>
      </c>
      <c r="Q96">
        <f t="shared" si="9"/>
        <v>0</v>
      </c>
      <c r="R96">
        <f t="shared" si="10"/>
        <v>0</v>
      </c>
    </row>
    <row r="97" spans="2:18">
      <c r="B97">
        <v>607898.12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 s="5">
        <f t="shared" si="11"/>
        <v>0</v>
      </c>
      <c r="N97" s="5">
        <f t="shared" si="6"/>
        <v>0</v>
      </c>
      <c r="O97">
        <f t="shared" si="7"/>
        <v>1</v>
      </c>
      <c r="P97">
        <f t="shared" si="8"/>
        <v>0</v>
      </c>
      <c r="Q97">
        <f t="shared" si="9"/>
        <v>0</v>
      </c>
      <c r="R97">
        <f t="shared" si="10"/>
        <v>0</v>
      </c>
    </row>
    <row r="98" spans="2:18">
      <c r="B98">
        <v>691113.62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 s="5">
        <f t="shared" si="11"/>
        <v>0</v>
      </c>
      <c r="N98" s="5">
        <f t="shared" si="6"/>
        <v>0</v>
      </c>
      <c r="O98">
        <f t="shared" si="7"/>
        <v>1</v>
      </c>
      <c r="P98">
        <f t="shared" si="8"/>
        <v>0</v>
      </c>
      <c r="Q98">
        <f t="shared" si="9"/>
        <v>0</v>
      </c>
      <c r="R98">
        <f t="shared" si="10"/>
        <v>1</v>
      </c>
    </row>
    <row r="99" spans="2:18">
      <c r="B99">
        <v>735509.4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 s="5">
        <f t="shared" si="11"/>
        <v>0</v>
      </c>
      <c r="N99" s="5">
        <f t="shared" si="6"/>
        <v>0</v>
      </c>
      <c r="O99">
        <f t="shared" si="7"/>
        <v>1</v>
      </c>
      <c r="P99">
        <f t="shared" si="8"/>
        <v>0</v>
      </c>
      <c r="Q99">
        <f t="shared" si="9"/>
        <v>0</v>
      </c>
      <c r="R99">
        <f t="shared" si="10"/>
        <v>1</v>
      </c>
    </row>
    <row r="100" spans="2:18">
      <c r="B100">
        <v>605775.32999999996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 s="6">
        <v>4.5999999999999996</v>
      </c>
      <c r="K100">
        <v>0</v>
      </c>
      <c r="L100">
        <v>4.3</v>
      </c>
      <c r="M100" s="5">
        <f t="shared" si="11"/>
        <v>0</v>
      </c>
      <c r="N100" s="5">
        <f t="shared" si="6"/>
        <v>0</v>
      </c>
      <c r="O100">
        <f t="shared" si="7"/>
        <v>1</v>
      </c>
      <c r="P100">
        <f t="shared" si="8"/>
        <v>0</v>
      </c>
      <c r="Q100">
        <f t="shared" si="9"/>
        <v>0</v>
      </c>
      <c r="R100">
        <f t="shared" si="10"/>
        <v>1</v>
      </c>
    </row>
    <row r="101" spans="2:18">
      <c r="B101">
        <v>675177.68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 s="5">
        <f t="shared" si="11"/>
        <v>0</v>
      </c>
      <c r="N101" s="5">
        <f t="shared" si="6"/>
        <v>0</v>
      </c>
      <c r="O101">
        <f t="shared" si="7"/>
        <v>1</v>
      </c>
      <c r="P101">
        <f t="shared" si="8"/>
        <v>0</v>
      </c>
      <c r="Q101">
        <f t="shared" si="9"/>
        <v>0</v>
      </c>
      <c r="R101">
        <f t="shared" si="10"/>
        <v>1</v>
      </c>
    </row>
    <row r="102" spans="2:18">
      <c r="B102">
        <v>635181.35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 s="5">
        <f t="shared" si="11"/>
        <v>0</v>
      </c>
      <c r="N102" s="5">
        <f t="shared" si="6"/>
        <v>0</v>
      </c>
      <c r="O102">
        <f t="shared" si="7"/>
        <v>0</v>
      </c>
      <c r="P102">
        <f t="shared" si="8"/>
        <v>0</v>
      </c>
      <c r="Q102">
        <f t="shared" si="9"/>
        <v>0</v>
      </c>
      <c r="R102">
        <f t="shared" si="10"/>
        <v>1</v>
      </c>
    </row>
    <row r="103" spans="2:18">
      <c r="B103">
        <v>586626.93999999994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 s="5">
        <f t="shared" si="11"/>
        <v>0</v>
      </c>
      <c r="N103" s="5">
        <f t="shared" si="6"/>
        <v>0</v>
      </c>
      <c r="O103">
        <f t="shared" si="7"/>
        <v>0</v>
      </c>
      <c r="P103">
        <f t="shared" si="8"/>
        <v>0</v>
      </c>
      <c r="Q103">
        <f t="shared" si="9"/>
        <v>0</v>
      </c>
      <c r="R103">
        <f t="shared" si="10"/>
        <v>1</v>
      </c>
    </row>
    <row r="104" spans="2:18">
      <c r="B104">
        <v>740102.64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 s="5">
        <f t="shared" si="11"/>
        <v>0</v>
      </c>
      <c r="N104" s="5">
        <f t="shared" si="6"/>
        <v>0</v>
      </c>
      <c r="O104">
        <f t="shared" si="7"/>
        <v>0</v>
      </c>
      <c r="P104">
        <f t="shared" si="8"/>
        <v>0</v>
      </c>
      <c r="Q104">
        <f t="shared" si="9"/>
        <v>0</v>
      </c>
      <c r="R104">
        <f t="shared" si="10"/>
        <v>1</v>
      </c>
    </row>
    <row r="105" spans="2:18">
      <c r="B105">
        <v>625514.04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 s="5">
        <f t="shared" si="11"/>
        <v>0</v>
      </c>
      <c r="N105" s="5">
        <f t="shared" si="6"/>
        <v>0</v>
      </c>
      <c r="O105">
        <f t="shared" si="7"/>
        <v>0</v>
      </c>
      <c r="P105">
        <f t="shared" si="8"/>
        <v>0</v>
      </c>
      <c r="Q105">
        <f t="shared" si="9"/>
        <v>0</v>
      </c>
      <c r="R105">
        <f t="shared" si="10"/>
        <v>1</v>
      </c>
    </row>
    <row r="106" spans="2:18">
      <c r="B106">
        <v>727227.2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 s="5">
        <f t="shared" si="11"/>
        <v>0</v>
      </c>
      <c r="N106" s="5">
        <f t="shared" si="6"/>
        <v>0</v>
      </c>
      <c r="O106">
        <f t="shared" si="7"/>
        <v>1</v>
      </c>
      <c r="P106">
        <f t="shared" si="8"/>
        <v>0</v>
      </c>
      <c r="Q106">
        <f t="shared" si="9"/>
        <v>1</v>
      </c>
      <c r="R106">
        <f t="shared" si="10"/>
        <v>0</v>
      </c>
    </row>
    <row r="107" spans="2:18">
      <c r="B107">
        <v>783797.89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 s="5">
        <f t="shared" si="11"/>
        <v>0</v>
      </c>
      <c r="N107" s="5">
        <f t="shared" si="6"/>
        <v>0</v>
      </c>
      <c r="O107">
        <f t="shared" si="7"/>
        <v>1</v>
      </c>
      <c r="P107">
        <f t="shared" si="8"/>
        <v>0</v>
      </c>
      <c r="Q107">
        <f t="shared" si="9"/>
        <v>1</v>
      </c>
      <c r="R107">
        <f t="shared" si="10"/>
        <v>0</v>
      </c>
    </row>
    <row r="108" spans="2:18">
      <c r="B108">
        <v>795153.84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 s="5">
        <f t="shared" si="11"/>
        <v>0</v>
      </c>
      <c r="N108" s="5">
        <f t="shared" si="6"/>
        <v>0</v>
      </c>
      <c r="O108">
        <f t="shared" si="7"/>
        <v>1</v>
      </c>
      <c r="P108">
        <f t="shared" si="8"/>
        <v>0</v>
      </c>
      <c r="Q108">
        <f t="shared" si="9"/>
        <v>1</v>
      </c>
      <c r="R108">
        <f t="shared" si="10"/>
        <v>0</v>
      </c>
    </row>
    <row r="109" spans="2:18">
      <c r="B109">
        <v>665594.93999999994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 s="5">
        <f t="shared" si="11"/>
        <v>0</v>
      </c>
      <c r="N109" s="5">
        <f t="shared" si="6"/>
        <v>0</v>
      </c>
      <c r="O109">
        <f t="shared" si="7"/>
        <v>1</v>
      </c>
      <c r="P109">
        <f t="shared" si="8"/>
        <v>0</v>
      </c>
      <c r="Q109">
        <f t="shared" si="9"/>
        <v>1</v>
      </c>
      <c r="R109">
        <f t="shared" si="10"/>
        <v>0</v>
      </c>
    </row>
    <row r="110" spans="2:18">
      <c r="B110">
        <v>709478.39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 s="5">
        <f t="shared" si="11"/>
        <v>0</v>
      </c>
      <c r="N110" s="5">
        <f t="shared" si="6"/>
        <v>0</v>
      </c>
      <c r="O110">
        <f t="shared" si="7"/>
        <v>0</v>
      </c>
      <c r="P110">
        <f t="shared" si="8"/>
        <v>0</v>
      </c>
      <c r="Q110">
        <f t="shared" si="9"/>
        <v>0</v>
      </c>
      <c r="R110">
        <f t="shared" si="10"/>
        <v>1</v>
      </c>
    </row>
    <row r="111" spans="2:18">
      <c r="B111">
        <v>664162.49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 s="5">
        <f t="shared" si="11"/>
        <v>0</v>
      </c>
      <c r="N111" s="5">
        <f t="shared" si="6"/>
        <v>0</v>
      </c>
      <c r="O111">
        <f t="shared" si="7"/>
        <v>0</v>
      </c>
      <c r="P111">
        <f t="shared" si="8"/>
        <v>0</v>
      </c>
      <c r="Q111">
        <f t="shared" si="9"/>
        <v>0</v>
      </c>
      <c r="R111">
        <f t="shared" si="10"/>
        <v>1</v>
      </c>
    </row>
    <row r="112" spans="2:18">
      <c r="B112">
        <v>633494.21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 s="5">
        <f t="shared" si="11"/>
        <v>0</v>
      </c>
      <c r="N112" s="5">
        <f t="shared" si="6"/>
        <v>0</v>
      </c>
      <c r="O112">
        <f t="shared" si="7"/>
        <v>0</v>
      </c>
      <c r="P112">
        <f t="shared" si="8"/>
        <v>0</v>
      </c>
      <c r="Q112">
        <f t="shared" si="9"/>
        <v>0</v>
      </c>
      <c r="R112">
        <f t="shared" si="10"/>
        <v>1</v>
      </c>
    </row>
    <row r="113" spans="2:18">
      <c r="B113">
        <v>713611.16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 s="5">
        <f t="shared" si="11"/>
        <v>0</v>
      </c>
      <c r="N113" s="5">
        <f t="shared" si="6"/>
        <v>0</v>
      </c>
      <c r="O113">
        <f t="shared" si="7"/>
        <v>0</v>
      </c>
      <c r="P113">
        <f t="shared" si="8"/>
        <v>0</v>
      </c>
      <c r="Q113">
        <f t="shared" si="9"/>
        <v>0</v>
      </c>
      <c r="R113">
        <f t="shared" si="10"/>
        <v>1</v>
      </c>
    </row>
    <row r="114" spans="2:18">
      <c r="B114">
        <v>778397.97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 s="5">
        <f t="shared" si="11"/>
        <v>0</v>
      </c>
      <c r="N114" s="5">
        <f t="shared" si="6"/>
        <v>0</v>
      </c>
      <c r="O114">
        <f t="shared" si="7"/>
        <v>1</v>
      </c>
      <c r="P114">
        <f t="shared" si="8"/>
        <v>0</v>
      </c>
      <c r="Q114">
        <f t="shared" si="9"/>
        <v>0</v>
      </c>
      <c r="R114">
        <f t="shared" si="10"/>
        <v>1</v>
      </c>
    </row>
    <row r="115" spans="2:18">
      <c r="B115">
        <v>873380.02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 s="5">
        <f t="shared" si="11"/>
        <v>0</v>
      </c>
      <c r="N115" s="5">
        <f t="shared" si="6"/>
        <v>0</v>
      </c>
      <c r="O115">
        <f t="shared" si="7"/>
        <v>1</v>
      </c>
      <c r="P115">
        <f t="shared" si="8"/>
        <v>0</v>
      </c>
      <c r="Q115">
        <f t="shared" si="9"/>
        <v>0</v>
      </c>
      <c r="R115">
        <f t="shared" si="10"/>
        <v>1</v>
      </c>
    </row>
    <row r="116" spans="2:18">
      <c r="B116">
        <v>697287.9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 s="5">
        <f t="shared" si="11"/>
        <v>0</v>
      </c>
      <c r="N116" s="5">
        <f t="shared" si="6"/>
        <v>0</v>
      </c>
      <c r="O116">
        <f t="shared" si="7"/>
        <v>1</v>
      </c>
      <c r="P116">
        <f t="shared" si="8"/>
        <v>0</v>
      </c>
      <c r="Q116">
        <f t="shared" si="9"/>
        <v>0</v>
      </c>
      <c r="R116">
        <f t="shared" si="10"/>
        <v>1</v>
      </c>
    </row>
    <row r="117" spans="2:18">
      <c r="B117">
        <v>718074.79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 s="5">
        <f t="shared" si="11"/>
        <v>0</v>
      </c>
      <c r="N117" s="5">
        <f t="shared" si="6"/>
        <v>0</v>
      </c>
      <c r="O117">
        <f t="shared" si="7"/>
        <v>1</v>
      </c>
      <c r="P117">
        <f t="shared" si="8"/>
        <v>0</v>
      </c>
      <c r="Q117">
        <f t="shared" si="9"/>
        <v>0</v>
      </c>
      <c r="R117">
        <f t="shared" si="10"/>
        <v>1</v>
      </c>
    </row>
    <row r="118" spans="2:18">
      <c r="B118">
        <v>714942.43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 s="5">
        <f t="shared" si="11"/>
        <v>0</v>
      </c>
      <c r="N118" s="5">
        <f t="shared" si="6"/>
        <v>0</v>
      </c>
      <c r="O118">
        <f t="shared" si="7"/>
        <v>1</v>
      </c>
      <c r="P118">
        <f t="shared" si="8"/>
        <v>0</v>
      </c>
      <c r="Q118">
        <f t="shared" si="9"/>
        <v>0</v>
      </c>
      <c r="R118">
        <f t="shared" si="10"/>
        <v>0</v>
      </c>
    </row>
    <row r="119" spans="2:18">
      <c r="B119">
        <v>820519.04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 s="5">
        <f t="shared" si="11"/>
        <v>0</v>
      </c>
      <c r="N119" s="5">
        <f t="shared" si="6"/>
        <v>0</v>
      </c>
      <c r="O119">
        <f t="shared" si="7"/>
        <v>1</v>
      </c>
      <c r="P119">
        <f t="shared" si="8"/>
        <v>0</v>
      </c>
      <c r="Q119">
        <f t="shared" si="9"/>
        <v>0</v>
      </c>
      <c r="R119">
        <f t="shared" si="10"/>
        <v>0</v>
      </c>
    </row>
    <row r="120" spans="2:18">
      <c r="B120">
        <v>684217.32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 s="5">
        <f t="shared" si="11"/>
        <v>0</v>
      </c>
      <c r="N120" s="5">
        <f t="shared" si="6"/>
        <v>0</v>
      </c>
      <c r="O120">
        <f t="shared" si="7"/>
        <v>1</v>
      </c>
      <c r="P120">
        <f t="shared" si="8"/>
        <v>0</v>
      </c>
      <c r="Q120">
        <f t="shared" si="9"/>
        <v>0</v>
      </c>
      <c r="R120">
        <f t="shared" si="10"/>
        <v>0</v>
      </c>
    </row>
    <row r="121" spans="2:18">
      <c r="B121">
        <v>735480.19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 s="5">
        <f t="shared" si="11"/>
        <v>0</v>
      </c>
      <c r="N121" s="5">
        <f t="shared" si="6"/>
        <v>0</v>
      </c>
      <c r="O121">
        <f t="shared" si="7"/>
        <v>1</v>
      </c>
      <c r="P121">
        <f t="shared" si="8"/>
        <v>0</v>
      </c>
      <c r="Q121">
        <f t="shared" si="9"/>
        <v>0</v>
      </c>
      <c r="R121">
        <f t="shared" si="10"/>
        <v>0</v>
      </c>
    </row>
    <row r="122" spans="2:18">
      <c r="B122">
        <v>509484.81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 s="5">
        <f t="shared" si="11"/>
        <v>1</v>
      </c>
      <c r="N122" s="5">
        <f t="shared" si="6"/>
        <v>0</v>
      </c>
      <c r="O122">
        <f t="shared" si="7"/>
        <v>0</v>
      </c>
      <c r="P122">
        <f t="shared" si="8"/>
        <v>0</v>
      </c>
      <c r="Q122">
        <f t="shared" si="9"/>
        <v>1</v>
      </c>
      <c r="R122">
        <f t="shared" si="10"/>
        <v>0</v>
      </c>
    </row>
    <row r="123" spans="2:18">
      <c r="B123">
        <v>654317.09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 s="5">
        <f t="shared" si="11"/>
        <v>1</v>
      </c>
      <c r="N123" s="5">
        <f t="shared" si="6"/>
        <v>0</v>
      </c>
      <c r="O123">
        <f t="shared" si="7"/>
        <v>0</v>
      </c>
      <c r="P123">
        <f t="shared" si="8"/>
        <v>0</v>
      </c>
      <c r="Q123">
        <f t="shared" si="9"/>
        <v>1</v>
      </c>
      <c r="R123">
        <f t="shared" si="10"/>
        <v>0</v>
      </c>
    </row>
    <row r="124" spans="2:18">
      <c r="B124">
        <v>557487.26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 s="5">
        <f t="shared" si="11"/>
        <v>1</v>
      </c>
      <c r="N124" s="5">
        <f t="shared" si="6"/>
        <v>0</v>
      </c>
      <c r="O124">
        <f t="shared" si="7"/>
        <v>0</v>
      </c>
      <c r="P124">
        <f t="shared" si="8"/>
        <v>0</v>
      </c>
      <c r="Q124">
        <f t="shared" si="9"/>
        <v>1</v>
      </c>
      <c r="R124">
        <f t="shared" si="10"/>
        <v>0</v>
      </c>
    </row>
    <row r="125" spans="2:18">
      <c r="B125">
        <v>441275.42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 s="5">
        <f t="shared" si="11"/>
        <v>1</v>
      </c>
      <c r="N125" s="5">
        <f t="shared" si="6"/>
        <v>0</v>
      </c>
      <c r="O125">
        <f t="shared" si="7"/>
        <v>0</v>
      </c>
      <c r="P125">
        <f t="shared" si="8"/>
        <v>0</v>
      </c>
      <c r="Q125">
        <f t="shared" si="9"/>
        <v>1</v>
      </c>
      <c r="R125">
        <f t="shared" si="10"/>
        <v>0</v>
      </c>
    </row>
    <row r="126" spans="2:18">
      <c r="B126">
        <v>914544.17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 s="5">
        <f t="shared" si="11"/>
        <v>0</v>
      </c>
      <c r="N126" s="5">
        <f t="shared" si="6"/>
        <v>1</v>
      </c>
      <c r="O126">
        <f t="shared" si="7"/>
        <v>0</v>
      </c>
      <c r="P126">
        <f t="shared" si="8"/>
        <v>0</v>
      </c>
      <c r="Q126">
        <f t="shared" si="9"/>
        <v>1</v>
      </c>
      <c r="R126">
        <f t="shared" si="10"/>
        <v>0</v>
      </c>
    </row>
    <row r="127" spans="2:18">
      <c r="B127">
        <v>842439.67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 s="5">
        <f t="shared" si="11"/>
        <v>0</v>
      </c>
      <c r="N127" s="5">
        <f t="shared" si="6"/>
        <v>1</v>
      </c>
      <c r="O127">
        <f t="shared" si="7"/>
        <v>0</v>
      </c>
      <c r="P127">
        <f t="shared" si="8"/>
        <v>0</v>
      </c>
      <c r="Q127">
        <f t="shared" si="9"/>
        <v>1</v>
      </c>
      <c r="R127">
        <f t="shared" si="10"/>
        <v>0</v>
      </c>
    </row>
    <row r="128" spans="2:18">
      <c r="B128">
        <v>842157.92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 s="5">
        <f t="shared" si="11"/>
        <v>0</v>
      </c>
      <c r="N128" s="5">
        <f t="shared" si="6"/>
        <v>1</v>
      </c>
      <c r="O128">
        <f t="shared" si="7"/>
        <v>0</v>
      </c>
      <c r="P128">
        <f t="shared" si="8"/>
        <v>0</v>
      </c>
      <c r="Q128">
        <f t="shared" si="9"/>
        <v>1</v>
      </c>
      <c r="R128">
        <f t="shared" si="10"/>
        <v>0</v>
      </c>
    </row>
    <row r="129" spans="2:18">
      <c r="B129">
        <v>697155.3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 s="5">
        <f t="shared" si="11"/>
        <v>0</v>
      </c>
      <c r="N129" s="5">
        <f t="shared" si="6"/>
        <v>1</v>
      </c>
      <c r="O129">
        <f t="shared" si="7"/>
        <v>0</v>
      </c>
      <c r="P129">
        <f t="shared" si="8"/>
        <v>0</v>
      </c>
      <c r="Q129">
        <f t="shared" si="9"/>
        <v>1</v>
      </c>
      <c r="R129">
        <f t="shared" si="10"/>
        <v>0</v>
      </c>
    </row>
    <row r="130" spans="2:18">
      <c r="B130">
        <v>849018.3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 s="5">
        <f t="shared" si="11"/>
        <v>0</v>
      </c>
      <c r="N130" s="5">
        <f t="shared" si="6"/>
        <v>0</v>
      </c>
      <c r="O130">
        <f t="shared" si="7"/>
        <v>0</v>
      </c>
      <c r="P130">
        <f t="shared" si="8"/>
        <v>0</v>
      </c>
      <c r="Q130">
        <f t="shared" si="9"/>
        <v>1</v>
      </c>
      <c r="R130">
        <f t="shared" si="10"/>
        <v>0</v>
      </c>
    </row>
    <row r="131" spans="2:18">
      <c r="B131">
        <v>801830.35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 s="5">
        <f t="shared" si="11"/>
        <v>0</v>
      </c>
      <c r="N131" s="5">
        <f t="shared" ref="N131:N194" si="12">IF($C131="South",1,0)</f>
        <v>0</v>
      </c>
      <c r="O131">
        <f t="shared" ref="O131:O194" si="13">IF($C131="West",1,0)</f>
        <v>0</v>
      </c>
      <c r="P131">
        <f t="shared" ref="P131:P194" si="14">IF($D131="Airport",1,0)</f>
        <v>0</v>
      </c>
      <c r="Q131">
        <f t="shared" ref="Q131:Q194" si="15">IF($D131="High Street",1,0)</f>
        <v>1</v>
      </c>
      <c r="R131">
        <f t="shared" ref="R131:R194" si="16">IF($D131="Mall",1,0)</f>
        <v>0</v>
      </c>
    </row>
    <row r="132" spans="2:18">
      <c r="B132">
        <v>725235.28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 s="5">
        <f t="shared" ref="M132:M195" si="17">IF($C132="North",1,0)</f>
        <v>0</v>
      </c>
      <c r="N132" s="5">
        <f t="shared" si="12"/>
        <v>0</v>
      </c>
      <c r="O132">
        <f t="shared" si="13"/>
        <v>0</v>
      </c>
      <c r="P132">
        <f t="shared" si="14"/>
        <v>0</v>
      </c>
      <c r="Q132">
        <f t="shared" si="15"/>
        <v>1</v>
      </c>
      <c r="R132">
        <f t="shared" si="16"/>
        <v>0</v>
      </c>
    </row>
    <row r="133" spans="2:18">
      <c r="B133">
        <v>811452.72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 s="5">
        <f t="shared" si="17"/>
        <v>0</v>
      </c>
      <c r="N133" s="5">
        <f t="shared" si="12"/>
        <v>0</v>
      </c>
      <c r="O133">
        <f t="shared" si="13"/>
        <v>0</v>
      </c>
      <c r="P133">
        <f t="shared" si="14"/>
        <v>0</v>
      </c>
      <c r="Q133">
        <f t="shared" si="15"/>
        <v>1</v>
      </c>
      <c r="R133">
        <f t="shared" si="16"/>
        <v>0</v>
      </c>
    </row>
    <row r="134" spans="2:18">
      <c r="B134">
        <v>527300.13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 s="5">
        <f t="shared" si="17"/>
        <v>1</v>
      </c>
      <c r="N134" s="5">
        <f t="shared" si="12"/>
        <v>0</v>
      </c>
      <c r="O134">
        <f t="shared" si="13"/>
        <v>0</v>
      </c>
      <c r="P134">
        <f t="shared" si="14"/>
        <v>0</v>
      </c>
      <c r="Q134">
        <f t="shared" si="15"/>
        <v>1</v>
      </c>
      <c r="R134">
        <f t="shared" si="16"/>
        <v>0</v>
      </c>
    </row>
    <row r="135" spans="2:18">
      <c r="B135">
        <v>400831.65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 s="7">
        <v>3.9</v>
      </c>
      <c r="M135" s="5">
        <f t="shared" si="17"/>
        <v>1</v>
      </c>
      <c r="N135" s="5">
        <f t="shared" si="12"/>
        <v>0</v>
      </c>
      <c r="O135">
        <f t="shared" si="13"/>
        <v>0</v>
      </c>
      <c r="P135">
        <f t="shared" si="14"/>
        <v>0</v>
      </c>
      <c r="Q135">
        <f t="shared" si="15"/>
        <v>1</v>
      </c>
      <c r="R135">
        <f t="shared" si="16"/>
        <v>0</v>
      </c>
    </row>
    <row r="136" spans="2:18">
      <c r="B136">
        <v>593247.25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 s="5">
        <f t="shared" si="17"/>
        <v>1</v>
      </c>
      <c r="N136" s="5">
        <f t="shared" si="12"/>
        <v>0</v>
      </c>
      <c r="O136">
        <f t="shared" si="13"/>
        <v>0</v>
      </c>
      <c r="P136">
        <f t="shared" si="14"/>
        <v>0</v>
      </c>
      <c r="Q136">
        <f t="shared" si="15"/>
        <v>1</v>
      </c>
      <c r="R136">
        <f t="shared" si="16"/>
        <v>0</v>
      </c>
    </row>
    <row r="137" spans="2:18">
      <c r="B137">
        <v>529075.94999999995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 s="5">
        <f t="shared" si="17"/>
        <v>1</v>
      </c>
      <c r="N137" s="5">
        <f t="shared" si="12"/>
        <v>0</v>
      </c>
      <c r="O137">
        <f t="shared" si="13"/>
        <v>0</v>
      </c>
      <c r="P137">
        <f t="shared" si="14"/>
        <v>0</v>
      </c>
      <c r="Q137">
        <f t="shared" si="15"/>
        <v>1</v>
      </c>
      <c r="R137">
        <f t="shared" si="16"/>
        <v>0</v>
      </c>
    </row>
    <row r="138" spans="2:18">
      <c r="B138">
        <v>633638.03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 s="7">
        <v>3.9</v>
      </c>
      <c r="M138" s="5">
        <f t="shared" si="17"/>
        <v>0</v>
      </c>
      <c r="N138" s="5">
        <f t="shared" si="12"/>
        <v>1</v>
      </c>
      <c r="O138">
        <f t="shared" si="13"/>
        <v>0</v>
      </c>
      <c r="P138">
        <f t="shared" si="14"/>
        <v>0</v>
      </c>
      <c r="Q138">
        <f t="shared" si="15"/>
        <v>0</v>
      </c>
      <c r="R138">
        <f t="shared" si="16"/>
        <v>0</v>
      </c>
    </row>
    <row r="139" spans="2:18">
      <c r="B139">
        <v>743348.84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 s="5">
        <f t="shared" si="17"/>
        <v>0</v>
      </c>
      <c r="N139" s="5">
        <f t="shared" si="12"/>
        <v>1</v>
      </c>
      <c r="O139">
        <f t="shared" si="13"/>
        <v>0</v>
      </c>
      <c r="P139">
        <f t="shared" si="14"/>
        <v>0</v>
      </c>
      <c r="Q139">
        <f t="shared" si="15"/>
        <v>0</v>
      </c>
      <c r="R139">
        <f t="shared" si="16"/>
        <v>0</v>
      </c>
    </row>
    <row r="140" spans="2:18">
      <c r="B140">
        <v>758827.64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 s="5">
        <f t="shared" si="17"/>
        <v>0</v>
      </c>
      <c r="N140" s="5">
        <f t="shared" si="12"/>
        <v>1</v>
      </c>
      <c r="O140">
        <f t="shared" si="13"/>
        <v>0</v>
      </c>
      <c r="P140">
        <f t="shared" si="14"/>
        <v>0</v>
      </c>
      <c r="Q140">
        <f t="shared" si="15"/>
        <v>0</v>
      </c>
      <c r="R140">
        <f t="shared" si="16"/>
        <v>0</v>
      </c>
    </row>
    <row r="141" spans="2:18">
      <c r="B141">
        <v>646559.71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 s="5">
        <f t="shared" si="17"/>
        <v>0</v>
      </c>
      <c r="N141" s="5">
        <f t="shared" si="12"/>
        <v>1</v>
      </c>
      <c r="O141">
        <f t="shared" si="13"/>
        <v>0</v>
      </c>
      <c r="P141">
        <f t="shared" si="14"/>
        <v>0</v>
      </c>
      <c r="Q141">
        <f t="shared" si="15"/>
        <v>0</v>
      </c>
      <c r="R141">
        <f t="shared" si="16"/>
        <v>0</v>
      </c>
    </row>
    <row r="142" spans="2:18">
      <c r="B142">
        <v>715890.53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 s="5">
        <f t="shared" si="17"/>
        <v>0</v>
      </c>
      <c r="N142" s="5">
        <f t="shared" si="12"/>
        <v>0</v>
      </c>
      <c r="O142">
        <f t="shared" si="13"/>
        <v>1</v>
      </c>
      <c r="P142">
        <f t="shared" si="14"/>
        <v>0</v>
      </c>
      <c r="Q142">
        <f t="shared" si="15"/>
        <v>1</v>
      </c>
      <c r="R142">
        <f t="shared" si="16"/>
        <v>0</v>
      </c>
    </row>
    <row r="143" spans="2:18">
      <c r="B143">
        <v>715097.57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 s="5">
        <f t="shared" si="17"/>
        <v>0</v>
      </c>
      <c r="N143" s="5">
        <f t="shared" si="12"/>
        <v>0</v>
      </c>
      <c r="O143">
        <f t="shared" si="13"/>
        <v>1</v>
      </c>
      <c r="P143">
        <f t="shared" si="14"/>
        <v>0</v>
      </c>
      <c r="Q143">
        <f t="shared" si="15"/>
        <v>1</v>
      </c>
      <c r="R143">
        <f t="shared" si="16"/>
        <v>0</v>
      </c>
    </row>
    <row r="144" spans="2:18">
      <c r="B144">
        <v>682639.28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 s="5">
        <f t="shared" si="17"/>
        <v>0</v>
      </c>
      <c r="N144" s="5">
        <f t="shared" si="12"/>
        <v>0</v>
      </c>
      <c r="O144">
        <f t="shared" si="13"/>
        <v>1</v>
      </c>
      <c r="P144">
        <f t="shared" si="14"/>
        <v>0</v>
      </c>
      <c r="Q144">
        <f t="shared" si="15"/>
        <v>1</v>
      </c>
      <c r="R144">
        <f t="shared" si="16"/>
        <v>0</v>
      </c>
    </row>
    <row r="145" spans="2:18">
      <c r="B145">
        <v>695098.51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 s="5">
        <f t="shared" si="17"/>
        <v>0</v>
      </c>
      <c r="N145" s="5">
        <f t="shared" si="12"/>
        <v>0</v>
      </c>
      <c r="O145">
        <f t="shared" si="13"/>
        <v>1</v>
      </c>
      <c r="P145">
        <f t="shared" si="14"/>
        <v>0</v>
      </c>
      <c r="Q145">
        <f t="shared" si="15"/>
        <v>1</v>
      </c>
      <c r="R145">
        <f t="shared" si="16"/>
        <v>0</v>
      </c>
    </row>
    <row r="146" spans="2:18">
      <c r="B146">
        <v>577732.56999999995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 s="5">
        <f t="shared" si="17"/>
        <v>1</v>
      </c>
      <c r="N146" s="5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>
        <f t="shared" si="16"/>
        <v>0</v>
      </c>
    </row>
    <row r="147" spans="2:18">
      <c r="B147">
        <v>537058.32999999996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 s="5">
        <f t="shared" si="17"/>
        <v>1</v>
      </c>
      <c r="N147" s="5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>
        <f t="shared" si="16"/>
        <v>0</v>
      </c>
    </row>
    <row r="148" spans="2:18">
      <c r="B148">
        <v>601568.87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 s="5">
        <f t="shared" si="17"/>
        <v>1</v>
      </c>
      <c r="N148" s="5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>
        <f t="shared" si="16"/>
        <v>0</v>
      </c>
    </row>
    <row r="149" spans="2:18">
      <c r="B149">
        <v>570964.84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 s="5">
        <f t="shared" si="17"/>
        <v>1</v>
      </c>
      <c r="N149" s="5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>
        <f t="shared" si="16"/>
        <v>0</v>
      </c>
    </row>
    <row r="150" spans="2:18">
      <c r="B150">
        <v>614024.91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 s="5">
        <f t="shared" si="17"/>
        <v>0</v>
      </c>
      <c r="N150" s="5">
        <f t="shared" si="12"/>
        <v>1</v>
      </c>
      <c r="O150">
        <f t="shared" si="13"/>
        <v>0</v>
      </c>
      <c r="P150">
        <f t="shared" si="14"/>
        <v>0</v>
      </c>
      <c r="Q150">
        <f t="shared" si="15"/>
        <v>0</v>
      </c>
      <c r="R150">
        <f t="shared" si="16"/>
        <v>1</v>
      </c>
    </row>
    <row r="151" spans="2:18">
      <c r="B151">
        <v>712868.35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 s="5">
        <f t="shared" si="17"/>
        <v>0</v>
      </c>
      <c r="N151" s="5">
        <f t="shared" si="12"/>
        <v>1</v>
      </c>
      <c r="O151">
        <f t="shared" si="13"/>
        <v>0</v>
      </c>
      <c r="P151">
        <f t="shared" si="14"/>
        <v>0</v>
      </c>
      <c r="Q151">
        <f t="shared" si="15"/>
        <v>0</v>
      </c>
      <c r="R151">
        <f t="shared" si="16"/>
        <v>1</v>
      </c>
    </row>
    <row r="152" spans="2:18">
      <c r="B152">
        <v>696744.15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 s="5">
        <f t="shared" si="17"/>
        <v>0</v>
      </c>
      <c r="N152" s="5">
        <f t="shared" si="12"/>
        <v>1</v>
      </c>
      <c r="O152">
        <f t="shared" si="13"/>
        <v>0</v>
      </c>
      <c r="P152">
        <f t="shared" si="14"/>
        <v>0</v>
      </c>
      <c r="Q152">
        <f t="shared" si="15"/>
        <v>0</v>
      </c>
      <c r="R152">
        <f t="shared" si="16"/>
        <v>1</v>
      </c>
    </row>
    <row r="153" spans="2:18">
      <c r="B153">
        <v>725847.99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 s="5">
        <f t="shared" si="17"/>
        <v>0</v>
      </c>
      <c r="N153" s="5">
        <f t="shared" si="12"/>
        <v>1</v>
      </c>
      <c r="O153">
        <f t="shared" si="13"/>
        <v>0</v>
      </c>
      <c r="P153">
        <f t="shared" si="14"/>
        <v>0</v>
      </c>
      <c r="Q153">
        <f t="shared" si="15"/>
        <v>0</v>
      </c>
      <c r="R153">
        <f t="shared" si="16"/>
        <v>1</v>
      </c>
    </row>
    <row r="154" spans="2:18">
      <c r="B154">
        <v>785028.25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 s="5">
        <f t="shared" si="17"/>
        <v>0</v>
      </c>
      <c r="N154" s="5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1</v>
      </c>
      <c r="R154">
        <f t="shared" si="16"/>
        <v>0</v>
      </c>
    </row>
    <row r="155" spans="2:18">
      <c r="B155">
        <v>698492.67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 s="5">
        <f t="shared" si="17"/>
        <v>0</v>
      </c>
      <c r="N155" s="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1</v>
      </c>
      <c r="R155">
        <f t="shared" si="16"/>
        <v>0</v>
      </c>
    </row>
    <row r="156" spans="2:18">
      <c r="B156">
        <v>685830.24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 s="5">
        <f t="shared" si="17"/>
        <v>0</v>
      </c>
      <c r="N156" s="5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1</v>
      </c>
      <c r="R156">
        <f t="shared" si="16"/>
        <v>0</v>
      </c>
    </row>
    <row r="157" spans="2:18">
      <c r="B157">
        <v>702318.94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 s="5">
        <f t="shared" si="17"/>
        <v>0</v>
      </c>
      <c r="N157" s="5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1</v>
      </c>
      <c r="R157">
        <f t="shared" si="16"/>
        <v>0</v>
      </c>
    </row>
    <row r="158" spans="2:18">
      <c r="B158">
        <v>700078.32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 s="5">
        <f t="shared" si="17"/>
        <v>1</v>
      </c>
      <c r="N158" s="5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>
        <f t="shared" si="16"/>
        <v>1</v>
      </c>
    </row>
    <row r="159" spans="2:18">
      <c r="B159">
        <v>602002.31999999995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 s="5">
        <f t="shared" si="17"/>
        <v>1</v>
      </c>
      <c r="N159" s="5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>
        <f t="shared" si="16"/>
        <v>1</v>
      </c>
    </row>
    <row r="160" spans="2:18">
      <c r="B160">
        <v>724216.07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 s="5">
        <f t="shared" si="17"/>
        <v>1</v>
      </c>
      <c r="N160" s="5">
        <f t="shared" si="12"/>
        <v>0</v>
      </c>
      <c r="O160">
        <f t="shared" si="13"/>
        <v>0</v>
      </c>
      <c r="P160">
        <f t="shared" si="14"/>
        <v>0</v>
      </c>
      <c r="Q160">
        <f t="shared" si="15"/>
        <v>0</v>
      </c>
      <c r="R160">
        <f t="shared" si="16"/>
        <v>1</v>
      </c>
    </row>
    <row r="161" spans="2:18">
      <c r="B161">
        <v>620973.03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 s="5">
        <f t="shared" si="17"/>
        <v>1</v>
      </c>
      <c r="N161" s="5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>
        <f t="shared" si="16"/>
        <v>1</v>
      </c>
    </row>
    <row r="162" spans="2:18">
      <c r="B162">
        <v>650480.06000000006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 s="5">
        <f t="shared" si="17"/>
        <v>0</v>
      </c>
      <c r="N162" s="5">
        <f t="shared" si="12"/>
        <v>1</v>
      </c>
      <c r="O162">
        <f t="shared" si="13"/>
        <v>0</v>
      </c>
      <c r="P162">
        <f t="shared" si="14"/>
        <v>0</v>
      </c>
      <c r="Q162">
        <f t="shared" si="15"/>
        <v>1</v>
      </c>
      <c r="R162">
        <f t="shared" si="16"/>
        <v>0</v>
      </c>
    </row>
    <row r="163" spans="2:18">
      <c r="B163">
        <v>778298.88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 s="5">
        <f t="shared" si="17"/>
        <v>0</v>
      </c>
      <c r="N163" s="5">
        <f t="shared" si="12"/>
        <v>1</v>
      </c>
      <c r="O163">
        <f t="shared" si="13"/>
        <v>0</v>
      </c>
      <c r="P163">
        <f t="shared" si="14"/>
        <v>0</v>
      </c>
      <c r="Q163">
        <f t="shared" si="15"/>
        <v>1</v>
      </c>
      <c r="R163">
        <f t="shared" si="16"/>
        <v>0</v>
      </c>
    </row>
    <row r="164" spans="2:18">
      <c r="B164">
        <v>677096.71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 s="6">
        <v>4.5999999999999996</v>
      </c>
      <c r="K164">
        <v>0</v>
      </c>
      <c r="L164">
        <v>4.2</v>
      </c>
      <c r="M164" s="5">
        <f t="shared" si="17"/>
        <v>0</v>
      </c>
      <c r="N164" s="5">
        <f t="shared" si="12"/>
        <v>1</v>
      </c>
      <c r="O164">
        <f t="shared" si="13"/>
        <v>0</v>
      </c>
      <c r="P164">
        <f t="shared" si="14"/>
        <v>0</v>
      </c>
      <c r="Q164">
        <f t="shared" si="15"/>
        <v>1</v>
      </c>
      <c r="R164">
        <f t="shared" si="16"/>
        <v>0</v>
      </c>
    </row>
    <row r="165" spans="2:18">
      <c r="B165">
        <v>692008.64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 s="5">
        <f t="shared" si="17"/>
        <v>0</v>
      </c>
      <c r="N165" s="5">
        <f t="shared" si="12"/>
        <v>1</v>
      </c>
      <c r="O165">
        <f t="shared" si="13"/>
        <v>0</v>
      </c>
      <c r="P165">
        <f t="shared" si="14"/>
        <v>0</v>
      </c>
      <c r="Q165">
        <f t="shared" si="15"/>
        <v>1</v>
      </c>
      <c r="R165">
        <f t="shared" si="16"/>
        <v>0</v>
      </c>
    </row>
    <row r="166" spans="2:18">
      <c r="B166">
        <v>825797.91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 s="5">
        <f t="shared" si="17"/>
        <v>1</v>
      </c>
      <c r="N166" s="5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>
        <f t="shared" si="16"/>
        <v>1</v>
      </c>
    </row>
    <row r="167" spans="2:18">
      <c r="B167">
        <v>706285.52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 s="5">
        <f t="shared" si="17"/>
        <v>1</v>
      </c>
      <c r="N167" s="5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>
        <f t="shared" si="16"/>
        <v>1</v>
      </c>
    </row>
    <row r="168" spans="2:18">
      <c r="B168">
        <v>665534.69999999995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 s="5">
        <f t="shared" si="17"/>
        <v>1</v>
      </c>
      <c r="N168" s="5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>
        <f t="shared" si="16"/>
        <v>1</v>
      </c>
    </row>
    <row r="169" spans="2:18">
      <c r="B169">
        <v>820729.29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 s="5">
        <f t="shared" si="17"/>
        <v>1</v>
      </c>
      <c r="N169" s="5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>
        <f t="shared" si="16"/>
        <v>1</v>
      </c>
    </row>
    <row r="170" spans="2:18">
      <c r="B170">
        <v>739831.73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 s="5">
        <f t="shared" si="17"/>
        <v>0</v>
      </c>
      <c r="N170" s="5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>
        <f t="shared" si="16"/>
        <v>0</v>
      </c>
    </row>
    <row r="171" spans="2:18">
      <c r="B171">
        <v>593637.14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 s="5">
        <f t="shared" si="17"/>
        <v>0</v>
      </c>
      <c r="N171" s="5">
        <f t="shared" si="12"/>
        <v>0</v>
      </c>
      <c r="O171">
        <f t="shared" si="13"/>
        <v>0</v>
      </c>
      <c r="P171">
        <f t="shared" si="14"/>
        <v>0</v>
      </c>
      <c r="Q171">
        <f t="shared" si="15"/>
        <v>0</v>
      </c>
      <c r="R171">
        <f t="shared" si="16"/>
        <v>0</v>
      </c>
    </row>
    <row r="172" spans="2:18">
      <c r="B172">
        <v>769702.76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 s="5">
        <f t="shared" si="17"/>
        <v>0</v>
      </c>
      <c r="N172" s="5">
        <f t="shared" si="12"/>
        <v>0</v>
      </c>
      <c r="O172">
        <f t="shared" si="13"/>
        <v>0</v>
      </c>
      <c r="P172">
        <f t="shared" si="14"/>
        <v>0</v>
      </c>
      <c r="Q172">
        <f t="shared" si="15"/>
        <v>0</v>
      </c>
      <c r="R172">
        <f t="shared" si="16"/>
        <v>0</v>
      </c>
    </row>
    <row r="173" spans="2:18">
      <c r="B173">
        <v>679731.57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 s="5">
        <f t="shared" si="17"/>
        <v>0</v>
      </c>
      <c r="N173" s="5">
        <f t="shared" si="12"/>
        <v>0</v>
      </c>
      <c r="O173">
        <f t="shared" si="13"/>
        <v>0</v>
      </c>
      <c r="P173">
        <f t="shared" si="14"/>
        <v>0</v>
      </c>
      <c r="Q173">
        <f t="shared" si="15"/>
        <v>0</v>
      </c>
      <c r="R173">
        <f t="shared" si="16"/>
        <v>0</v>
      </c>
    </row>
    <row r="174" spans="2:18">
      <c r="B174">
        <v>780344.18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 s="5">
        <f t="shared" si="17"/>
        <v>0</v>
      </c>
      <c r="N174" s="5">
        <f t="shared" si="12"/>
        <v>0</v>
      </c>
      <c r="O174">
        <f t="shared" si="13"/>
        <v>0</v>
      </c>
      <c r="P174">
        <f t="shared" si="14"/>
        <v>0</v>
      </c>
      <c r="Q174">
        <f t="shared" si="15"/>
        <v>0</v>
      </c>
      <c r="R174">
        <f t="shared" si="16"/>
        <v>0</v>
      </c>
    </row>
    <row r="175" spans="2:18">
      <c r="B175">
        <v>721364.11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 s="5">
        <f t="shared" si="17"/>
        <v>0</v>
      </c>
      <c r="N175" s="5">
        <f t="shared" si="12"/>
        <v>0</v>
      </c>
      <c r="O175">
        <f t="shared" si="13"/>
        <v>0</v>
      </c>
      <c r="P175">
        <f t="shared" si="14"/>
        <v>0</v>
      </c>
      <c r="Q175">
        <f t="shared" si="15"/>
        <v>0</v>
      </c>
      <c r="R175">
        <f t="shared" si="16"/>
        <v>0</v>
      </c>
    </row>
    <row r="176" spans="2:18">
      <c r="B176">
        <v>758138.29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 s="5">
        <f t="shared" si="17"/>
        <v>0</v>
      </c>
      <c r="N176" s="5">
        <f t="shared" si="12"/>
        <v>0</v>
      </c>
      <c r="O176">
        <f t="shared" si="13"/>
        <v>0</v>
      </c>
      <c r="P176">
        <f t="shared" si="14"/>
        <v>0</v>
      </c>
      <c r="Q176">
        <f t="shared" si="15"/>
        <v>0</v>
      </c>
      <c r="R176">
        <f t="shared" si="16"/>
        <v>0</v>
      </c>
    </row>
    <row r="177" spans="2:18">
      <c r="B177">
        <v>804264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 s="5">
        <f t="shared" si="17"/>
        <v>0</v>
      </c>
      <c r="N177" s="5">
        <f t="shared" si="12"/>
        <v>0</v>
      </c>
      <c r="O177">
        <f t="shared" si="13"/>
        <v>0</v>
      </c>
      <c r="P177">
        <f t="shared" si="14"/>
        <v>0</v>
      </c>
      <c r="Q177">
        <f t="shared" si="15"/>
        <v>0</v>
      </c>
      <c r="R177">
        <f t="shared" si="16"/>
        <v>0</v>
      </c>
    </row>
    <row r="178" spans="2:18">
      <c r="B178">
        <v>887537.75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 s="5">
        <f t="shared" si="17"/>
        <v>0</v>
      </c>
      <c r="N178" s="5">
        <f t="shared" si="12"/>
        <v>0</v>
      </c>
      <c r="O178">
        <f t="shared" si="13"/>
        <v>1</v>
      </c>
      <c r="P178">
        <f t="shared" si="14"/>
        <v>1</v>
      </c>
      <c r="Q178">
        <f t="shared" si="15"/>
        <v>0</v>
      </c>
      <c r="R178">
        <f t="shared" si="16"/>
        <v>0</v>
      </c>
    </row>
    <row r="179" spans="2:18">
      <c r="B179">
        <v>783582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 s="5">
        <f t="shared" si="17"/>
        <v>0</v>
      </c>
      <c r="N179" s="5">
        <f t="shared" si="12"/>
        <v>0</v>
      </c>
      <c r="O179">
        <f t="shared" si="13"/>
        <v>1</v>
      </c>
      <c r="P179">
        <f t="shared" si="14"/>
        <v>1</v>
      </c>
      <c r="Q179">
        <f t="shared" si="15"/>
        <v>0</v>
      </c>
      <c r="R179">
        <f t="shared" si="16"/>
        <v>0</v>
      </c>
    </row>
    <row r="180" spans="2:18">
      <c r="B180">
        <v>781955.52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 s="5">
        <f t="shared" si="17"/>
        <v>0</v>
      </c>
      <c r="N180" s="5">
        <f t="shared" si="12"/>
        <v>0</v>
      </c>
      <c r="O180">
        <f t="shared" si="13"/>
        <v>1</v>
      </c>
      <c r="P180">
        <f t="shared" si="14"/>
        <v>1</v>
      </c>
      <c r="Q180">
        <f t="shared" si="15"/>
        <v>0</v>
      </c>
      <c r="R180">
        <f t="shared" si="16"/>
        <v>0</v>
      </c>
    </row>
    <row r="181" spans="2:18">
      <c r="B181">
        <v>898031.04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 s="5">
        <f t="shared" si="17"/>
        <v>0</v>
      </c>
      <c r="N181" s="5">
        <f t="shared" si="12"/>
        <v>0</v>
      </c>
      <c r="O181">
        <f t="shared" si="13"/>
        <v>1</v>
      </c>
      <c r="P181">
        <f t="shared" si="14"/>
        <v>1</v>
      </c>
      <c r="Q181">
        <f t="shared" si="15"/>
        <v>0</v>
      </c>
      <c r="R181">
        <f t="shared" si="16"/>
        <v>0</v>
      </c>
    </row>
    <row r="182" spans="2:18">
      <c r="B182">
        <v>855341.28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 s="5">
        <f t="shared" si="17"/>
        <v>0</v>
      </c>
      <c r="N182" s="5">
        <f t="shared" si="12"/>
        <v>0</v>
      </c>
      <c r="O182">
        <f t="shared" si="13"/>
        <v>1</v>
      </c>
      <c r="P182">
        <f t="shared" si="14"/>
        <v>0</v>
      </c>
      <c r="Q182">
        <f t="shared" si="15"/>
        <v>0</v>
      </c>
      <c r="R182">
        <f t="shared" si="16"/>
        <v>0</v>
      </c>
    </row>
    <row r="183" spans="2:18">
      <c r="B183">
        <v>751393.88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 s="5">
        <f t="shared" si="17"/>
        <v>0</v>
      </c>
      <c r="N183" s="5">
        <f t="shared" si="12"/>
        <v>0</v>
      </c>
      <c r="O183">
        <f t="shared" si="13"/>
        <v>1</v>
      </c>
      <c r="P183">
        <f t="shared" si="14"/>
        <v>0</v>
      </c>
      <c r="Q183">
        <f t="shared" si="15"/>
        <v>0</v>
      </c>
      <c r="R183">
        <f t="shared" si="16"/>
        <v>0</v>
      </c>
    </row>
    <row r="184" spans="2:18">
      <c r="B184">
        <v>761077.08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 s="5">
        <f t="shared" si="17"/>
        <v>0</v>
      </c>
      <c r="N184" s="5">
        <f t="shared" si="12"/>
        <v>0</v>
      </c>
      <c r="O184">
        <f t="shared" si="13"/>
        <v>1</v>
      </c>
      <c r="P184">
        <f t="shared" si="14"/>
        <v>0</v>
      </c>
      <c r="Q184">
        <f t="shared" si="15"/>
        <v>0</v>
      </c>
      <c r="R184">
        <f t="shared" si="16"/>
        <v>0</v>
      </c>
    </row>
    <row r="185" spans="2:18">
      <c r="B185">
        <v>819660.59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 s="5">
        <f t="shared" si="17"/>
        <v>0</v>
      </c>
      <c r="N185" s="5">
        <f t="shared" si="12"/>
        <v>0</v>
      </c>
      <c r="O185">
        <f t="shared" si="13"/>
        <v>1</v>
      </c>
      <c r="P185">
        <f t="shared" si="14"/>
        <v>0</v>
      </c>
      <c r="Q185">
        <f t="shared" si="15"/>
        <v>0</v>
      </c>
      <c r="R185">
        <f t="shared" si="16"/>
        <v>0</v>
      </c>
    </row>
    <row r="186" spans="2:18">
      <c r="B186">
        <v>681855.56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 s="5">
        <f t="shared" si="17"/>
        <v>1</v>
      </c>
      <c r="N186" s="5">
        <f t="shared" si="12"/>
        <v>0</v>
      </c>
      <c r="O186">
        <f t="shared" si="13"/>
        <v>0</v>
      </c>
      <c r="P186">
        <f t="shared" si="14"/>
        <v>0</v>
      </c>
      <c r="Q186">
        <f t="shared" si="15"/>
        <v>1</v>
      </c>
      <c r="R186">
        <f t="shared" si="16"/>
        <v>0</v>
      </c>
    </row>
    <row r="187" spans="2:18">
      <c r="B187">
        <v>678311.17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 s="5">
        <f t="shared" si="17"/>
        <v>1</v>
      </c>
      <c r="N187" s="5">
        <f t="shared" si="12"/>
        <v>0</v>
      </c>
      <c r="O187">
        <f t="shared" si="13"/>
        <v>0</v>
      </c>
      <c r="P187">
        <f t="shared" si="14"/>
        <v>0</v>
      </c>
      <c r="Q187">
        <f t="shared" si="15"/>
        <v>1</v>
      </c>
      <c r="R187">
        <f t="shared" si="16"/>
        <v>0</v>
      </c>
    </row>
    <row r="188" spans="2:18">
      <c r="B188">
        <v>765906.95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 s="5">
        <f t="shared" si="17"/>
        <v>1</v>
      </c>
      <c r="N188" s="5">
        <f t="shared" si="12"/>
        <v>0</v>
      </c>
      <c r="O188">
        <f t="shared" si="13"/>
        <v>0</v>
      </c>
      <c r="P188">
        <f t="shared" si="14"/>
        <v>0</v>
      </c>
      <c r="Q188">
        <f t="shared" si="15"/>
        <v>1</v>
      </c>
      <c r="R188">
        <f t="shared" si="16"/>
        <v>0</v>
      </c>
    </row>
    <row r="189" spans="2:18">
      <c r="B189">
        <v>712546.38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 s="5">
        <f t="shared" si="17"/>
        <v>1</v>
      </c>
      <c r="N189" s="5">
        <f t="shared" si="12"/>
        <v>0</v>
      </c>
      <c r="O189">
        <f t="shared" si="13"/>
        <v>0</v>
      </c>
      <c r="P189">
        <f t="shared" si="14"/>
        <v>0</v>
      </c>
      <c r="Q189">
        <f t="shared" si="15"/>
        <v>1</v>
      </c>
      <c r="R189">
        <f t="shared" si="16"/>
        <v>0</v>
      </c>
    </row>
    <row r="190" spans="2:18">
      <c r="B190">
        <v>625993.82999999996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 s="5">
        <f t="shared" si="17"/>
        <v>0</v>
      </c>
      <c r="N190" s="5">
        <f t="shared" si="12"/>
        <v>0</v>
      </c>
      <c r="O190">
        <f t="shared" si="13"/>
        <v>0</v>
      </c>
      <c r="P190">
        <f t="shared" si="14"/>
        <v>0</v>
      </c>
      <c r="Q190">
        <f t="shared" si="15"/>
        <v>1</v>
      </c>
      <c r="R190">
        <f t="shared" si="16"/>
        <v>0</v>
      </c>
    </row>
    <row r="191" spans="2:18">
      <c r="B191">
        <v>550962.93000000005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 s="5">
        <f t="shared" si="17"/>
        <v>0</v>
      </c>
      <c r="N191" s="5">
        <f t="shared" si="12"/>
        <v>0</v>
      </c>
      <c r="O191">
        <f t="shared" si="13"/>
        <v>0</v>
      </c>
      <c r="P191">
        <f t="shared" si="14"/>
        <v>0</v>
      </c>
      <c r="Q191">
        <f t="shared" si="15"/>
        <v>1</v>
      </c>
      <c r="R191">
        <f t="shared" si="16"/>
        <v>0</v>
      </c>
    </row>
    <row r="192" spans="2:18">
      <c r="B192">
        <v>443275.59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 s="5">
        <f t="shared" si="17"/>
        <v>0</v>
      </c>
      <c r="N192" s="5">
        <f t="shared" si="12"/>
        <v>0</v>
      </c>
      <c r="O192">
        <f t="shared" si="13"/>
        <v>0</v>
      </c>
      <c r="P192">
        <f t="shared" si="14"/>
        <v>0</v>
      </c>
      <c r="Q192">
        <f t="shared" si="15"/>
        <v>1</v>
      </c>
      <c r="R192">
        <f t="shared" si="16"/>
        <v>0</v>
      </c>
    </row>
    <row r="193" spans="2:18">
      <c r="B193">
        <v>554012.06999999995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 s="5">
        <f t="shared" si="17"/>
        <v>0</v>
      </c>
      <c r="N193" s="5">
        <f t="shared" si="12"/>
        <v>0</v>
      </c>
      <c r="O193">
        <f t="shared" si="13"/>
        <v>0</v>
      </c>
      <c r="P193">
        <f t="shared" si="14"/>
        <v>0</v>
      </c>
      <c r="Q193">
        <f t="shared" si="15"/>
        <v>1</v>
      </c>
      <c r="R193">
        <f t="shared" si="16"/>
        <v>0</v>
      </c>
    </row>
    <row r="194" spans="2:18">
      <c r="B194">
        <v>643428.85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 s="5">
        <f t="shared" si="17"/>
        <v>0</v>
      </c>
      <c r="N194" s="5">
        <f t="shared" si="12"/>
        <v>0</v>
      </c>
      <c r="O194">
        <f t="shared" si="13"/>
        <v>1</v>
      </c>
      <c r="P194">
        <f t="shared" si="14"/>
        <v>0</v>
      </c>
      <c r="Q194">
        <f t="shared" si="15"/>
        <v>0</v>
      </c>
      <c r="R194">
        <f t="shared" si="16"/>
        <v>0</v>
      </c>
    </row>
    <row r="195" spans="2:18">
      <c r="B195">
        <v>611924.27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 s="5">
        <f t="shared" si="17"/>
        <v>0</v>
      </c>
      <c r="N195" s="5">
        <f t="shared" ref="N195:N258" si="18">IF($C195="South",1,0)</f>
        <v>0</v>
      </c>
      <c r="O195">
        <f t="shared" ref="O195:O258" si="19">IF($C195="West",1,0)</f>
        <v>1</v>
      </c>
      <c r="P195">
        <f t="shared" ref="P195:P258" si="20">IF($D195="Airport",1,0)</f>
        <v>0</v>
      </c>
      <c r="Q195">
        <f t="shared" ref="Q195:Q258" si="21">IF($D195="High Street",1,0)</f>
        <v>0</v>
      </c>
      <c r="R195">
        <f t="shared" ref="R195:R258" si="22">IF($D195="Mall",1,0)</f>
        <v>0</v>
      </c>
    </row>
    <row r="196" spans="2:18">
      <c r="B196">
        <v>559422.02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 s="5">
        <f t="shared" ref="M196:M259" si="23">IF($C196="North",1,0)</f>
        <v>0</v>
      </c>
      <c r="N196" s="5">
        <f t="shared" si="18"/>
        <v>0</v>
      </c>
      <c r="O196">
        <f t="shared" si="19"/>
        <v>1</v>
      </c>
      <c r="P196">
        <f t="shared" si="20"/>
        <v>0</v>
      </c>
      <c r="Q196">
        <f t="shared" si="21"/>
        <v>0</v>
      </c>
      <c r="R196">
        <f t="shared" si="22"/>
        <v>0</v>
      </c>
    </row>
    <row r="197" spans="2:18">
      <c r="B197">
        <v>449465.06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 s="7">
        <v>3.9</v>
      </c>
      <c r="M197" s="5">
        <f t="shared" si="23"/>
        <v>0</v>
      </c>
      <c r="N197" s="5">
        <f t="shared" si="18"/>
        <v>0</v>
      </c>
      <c r="O197">
        <f t="shared" si="19"/>
        <v>1</v>
      </c>
      <c r="P197">
        <f t="shared" si="20"/>
        <v>0</v>
      </c>
      <c r="Q197">
        <f t="shared" si="21"/>
        <v>0</v>
      </c>
      <c r="R197">
        <f t="shared" si="22"/>
        <v>0</v>
      </c>
    </row>
    <row r="198" spans="2:18">
      <c r="B198">
        <v>691447.43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 s="5">
        <f t="shared" si="23"/>
        <v>1</v>
      </c>
      <c r="N198" s="5">
        <f t="shared" si="18"/>
        <v>0</v>
      </c>
      <c r="O198">
        <f t="shared" si="19"/>
        <v>0</v>
      </c>
      <c r="P198">
        <f t="shared" si="20"/>
        <v>0</v>
      </c>
      <c r="Q198">
        <f t="shared" si="21"/>
        <v>0</v>
      </c>
      <c r="R198">
        <f t="shared" si="22"/>
        <v>0</v>
      </c>
    </row>
    <row r="199" spans="2:18">
      <c r="B199">
        <v>574066.61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 s="5">
        <f t="shared" si="23"/>
        <v>1</v>
      </c>
      <c r="N199" s="5">
        <f t="shared" si="18"/>
        <v>0</v>
      </c>
      <c r="O199">
        <f t="shared" si="19"/>
        <v>0</v>
      </c>
      <c r="P199">
        <f t="shared" si="20"/>
        <v>0</v>
      </c>
      <c r="Q199">
        <f t="shared" si="21"/>
        <v>0</v>
      </c>
      <c r="R199">
        <f t="shared" si="22"/>
        <v>0</v>
      </c>
    </row>
    <row r="200" spans="2:18">
      <c r="B200">
        <v>578949.84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 s="5">
        <f t="shared" si="23"/>
        <v>1</v>
      </c>
      <c r="N200" s="5">
        <f t="shared" si="18"/>
        <v>0</v>
      </c>
      <c r="O200">
        <f t="shared" si="19"/>
        <v>0</v>
      </c>
      <c r="P200">
        <f t="shared" si="20"/>
        <v>0</v>
      </c>
      <c r="Q200">
        <f t="shared" si="21"/>
        <v>0</v>
      </c>
      <c r="R200">
        <f t="shared" si="22"/>
        <v>0</v>
      </c>
    </row>
    <row r="201" spans="2:18">
      <c r="B201">
        <v>735786.64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 s="5">
        <f t="shared" si="23"/>
        <v>1</v>
      </c>
      <c r="N201" s="5">
        <f t="shared" si="18"/>
        <v>0</v>
      </c>
      <c r="O201">
        <f t="shared" si="19"/>
        <v>0</v>
      </c>
      <c r="P201">
        <f t="shared" si="20"/>
        <v>0</v>
      </c>
      <c r="Q201">
        <f t="shared" si="21"/>
        <v>0</v>
      </c>
      <c r="R201">
        <f t="shared" si="22"/>
        <v>0</v>
      </c>
    </row>
    <row r="202" spans="2:18">
      <c r="B202">
        <v>598904.9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 s="5">
        <f t="shared" si="23"/>
        <v>0</v>
      </c>
      <c r="N202" s="5">
        <f t="shared" si="18"/>
        <v>0</v>
      </c>
      <c r="O202">
        <f t="shared" si="19"/>
        <v>0</v>
      </c>
      <c r="P202">
        <f t="shared" si="20"/>
        <v>1</v>
      </c>
      <c r="Q202">
        <f t="shared" si="21"/>
        <v>0</v>
      </c>
      <c r="R202">
        <f t="shared" si="22"/>
        <v>0</v>
      </c>
    </row>
    <row r="203" spans="2:18">
      <c r="B203">
        <v>787715.51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 s="5">
        <f t="shared" si="23"/>
        <v>0</v>
      </c>
      <c r="N203" s="5">
        <f t="shared" si="18"/>
        <v>0</v>
      </c>
      <c r="O203">
        <f t="shared" si="19"/>
        <v>0</v>
      </c>
      <c r="P203">
        <f t="shared" si="20"/>
        <v>1</v>
      </c>
      <c r="Q203">
        <f t="shared" si="21"/>
        <v>0</v>
      </c>
      <c r="R203">
        <f t="shared" si="22"/>
        <v>0</v>
      </c>
    </row>
    <row r="204" spans="2:18">
      <c r="B204">
        <v>607084.92000000004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 s="5">
        <f t="shared" si="23"/>
        <v>0</v>
      </c>
      <c r="N204" s="5">
        <f t="shared" si="18"/>
        <v>0</v>
      </c>
      <c r="O204">
        <f t="shared" si="19"/>
        <v>0</v>
      </c>
      <c r="P204">
        <f t="shared" si="20"/>
        <v>1</v>
      </c>
      <c r="Q204">
        <f t="shared" si="21"/>
        <v>0</v>
      </c>
      <c r="R204">
        <f t="shared" si="22"/>
        <v>0</v>
      </c>
    </row>
    <row r="205" spans="2:18">
      <c r="B205">
        <v>650795.49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 s="5">
        <f t="shared" si="23"/>
        <v>0</v>
      </c>
      <c r="N205" s="5">
        <f t="shared" si="18"/>
        <v>0</v>
      </c>
      <c r="O205">
        <f t="shared" si="19"/>
        <v>0</v>
      </c>
      <c r="P205">
        <f t="shared" si="20"/>
        <v>1</v>
      </c>
      <c r="Q205">
        <f t="shared" si="21"/>
        <v>0</v>
      </c>
      <c r="R205">
        <f t="shared" si="22"/>
        <v>0</v>
      </c>
    </row>
    <row r="206" spans="2:18">
      <c r="B206">
        <v>825060.52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 s="5">
        <f t="shared" si="23"/>
        <v>0</v>
      </c>
      <c r="N206" s="5">
        <f t="shared" si="18"/>
        <v>0</v>
      </c>
      <c r="O206">
        <f t="shared" si="19"/>
        <v>0</v>
      </c>
      <c r="P206">
        <f t="shared" si="20"/>
        <v>0</v>
      </c>
      <c r="Q206">
        <f t="shared" si="21"/>
        <v>0</v>
      </c>
      <c r="R206">
        <f t="shared" si="22"/>
        <v>1</v>
      </c>
    </row>
    <row r="207" spans="2:18">
      <c r="B207">
        <v>795464.47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 s="5">
        <f t="shared" si="23"/>
        <v>0</v>
      </c>
      <c r="N207" s="5">
        <f t="shared" si="18"/>
        <v>0</v>
      </c>
      <c r="O207">
        <f t="shared" si="19"/>
        <v>0</v>
      </c>
      <c r="P207">
        <f t="shared" si="20"/>
        <v>0</v>
      </c>
      <c r="Q207">
        <f t="shared" si="21"/>
        <v>0</v>
      </c>
      <c r="R207">
        <f t="shared" si="22"/>
        <v>1</v>
      </c>
    </row>
    <row r="208" spans="2:18">
      <c r="B208">
        <v>671868.59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 s="5">
        <f t="shared" si="23"/>
        <v>0</v>
      </c>
      <c r="N208" s="5">
        <f t="shared" si="18"/>
        <v>0</v>
      </c>
      <c r="O208">
        <f t="shared" si="19"/>
        <v>0</v>
      </c>
      <c r="P208">
        <f t="shared" si="20"/>
        <v>0</v>
      </c>
      <c r="Q208">
        <f t="shared" si="21"/>
        <v>0</v>
      </c>
      <c r="R208">
        <f t="shared" si="22"/>
        <v>1</v>
      </c>
    </row>
    <row r="209" spans="2:18">
      <c r="B209">
        <v>675917.63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 s="5">
        <f t="shared" si="23"/>
        <v>0</v>
      </c>
      <c r="N209" s="5">
        <f t="shared" si="18"/>
        <v>0</v>
      </c>
      <c r="O209">
        <f t="shared" si="19"/>
        <v>0</v>
      </c>
      <c r="P209">
        <f t="shared" si="20"/>
        <v>0</v>
      </c>
      <c r="Q209">
        <f t="shared" si="21"/>
        <v>0</v>
      </c>
      <c r="R209">
        <f t="shared" si="22"/>
        <v>1</v>
      </c>
    </row>
    <row r="210" spans="2:18">
      <c r="B210">
        <v>810446.53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 s="5">
        <f t="shared" si="23"/>
        <v>0</v>
      </c>
      <c r="N210" s="5">
        <f t="shared" si="18"/>
        <v>0</v>
      </c>
      <c r="O210">
        <f t="shared" si="19"/>
        <v>0</v>
      </c>
      <c r="P210">
        <f t="shared" si="20"/>
        <v>0</v>
      </c>
      <c r="Q210">
        <f t="shared" si="21"/>
        <v>1</v>
      </c>
      <c r="R210">
        <f t="shared" si="22"/>
        <v>0</v>
      </c>
    </row>
    <row r="211" spans="2:18">
      <c r="B211">
        <v>691288.19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 s="5">
        <f t="shared" si="23"/>
        <v>0</v>
      </c>
      <c r="N211" s="5">
        <f t="shared" si="18"/>
        <v>0</v>
      </c>
      <c r="O211">
        <f t="shared" si="19"/>
        <v>0</v>
      </c>
      <c r="P211">
        <f t="shared" si="20"/>
        <v>0</v>
      </c>
      <c r="Q211">
        <f t="shared" si="21"/>
        <v>1</v>
      </c>
      <c r="R211">
        <f t="shared" si="22"/>
        <v>0</v>
      </c>
    </row>
    <row r="212" spans="2:18">
      <c r="B212">
        <v>946833.54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 s="5">
        <f t="shared" si="23"/>
        <v>0</v>
      </c>
      <c r="N212" s="5">
        <f t="shared" si="18"/>
        <v>0</v>
      </c>
      <c r="O212">
        <f t="shared" si="19"/>
        <v>0</v>
      </c>
      <c r="P212">
        <f t="shared" si="20"/>
        <v>0</v>
      </c>
      <c r="Q212">
        <f t="shared" si="21"/>
        <v>1</v>
      </c>
      <c r="R212">
        <f t="shared" si="22"/>
        <v>0</v>
      </c>
    </row>
    <row r="213" spans="2:18">
      <c r="B213">
        <v>761963.23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 s="5">
        <f t="shared" si="23"/>
        <v>0</v>
      </c>
      <c r="N213" s="5">
        <f t="shared" si="18"/>
        <v>0</v>
      </c>
      <c r="O213">
        <f t="shared" si="19"/>
        <v>0</v>
      </c>
      <c r="P213">
        <f t="shared" si="20"/>
        <v>0</v>
      </c>
      <c r="Q213">
        <f t="shared" si="21"/>
        <v>1</v>
      </c>
      <c r="R213">
        <f t="shared" si="22"/>
        <v>0</v>
      </c>
    </row>
    <row r="214" spans="2:18">
      <c r="B214">
        <v>812152.6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 s="5">
        <f t="shared" si="23"/>
        <v>0</v>
      </c>
      <c r="N214" s="5">
        <f t="shared" si="18"/>
        <v>0</v>
      </c>
      <c r="O214">
        <f t="shared" si="19"/>
        <v>1</v>
      </c>
      <c r="P214">
        <f t="shared" si="20"/>
        <v>0</v>
      </c>
      <c r="Q214">
        <f t="shared" si="21"/>
        <v>0</v>
      </c>
      <c r="R214">
        <f t="shared" si="22"/>
        <v>0</v>
      </c>
    </row>
    <row r="215" spans="2:18">
      <c r="B215">
        <v>804975.5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 s="5">
        <f t="shared" si="23"/>
        <v>0</v>
      </c>
      <c r="N215" s="5">
        <f t="shared" si="18"/>
        <v>0</v>
      </c>
      <c r="O215">
        <f t="shared" si="19"/>
        <v>1</v>
      </c>
      <c r="P215">
        <f t="shared" si="20"/>
        <v>0</v>
      </c>
      <c r="Q215">
        <f t="shared" si="21"/>
        <v>0</v>
      </c>
      <c r="R215">
        <f t="shared" si="22"/>
        <v>0</v>
      </c>
    </row>
    <row r="216" spans="2:18">
      <c r="B216">
        <v>752321.72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 s="5">
        <f t="shared" si="23"/>
        <v>0</v>
      </c>
      <c r="N216" s="5">
        <f t="shared" si="18"/>
        <v>0</v>
      </c>
      <c r="O216">
        <f t="shared" si="19"/>
        <v>1</v>
      </c>
      <c r="P216">
        <f t="shared" si="20"/>
        <v>0</v>
      </c>
      <c r="Q216">
        <f t="shared" si="21"/>
        <v>0</v>
      </c>
      <c r="R216">
        <f t="shared" si="22"/>
        <v>0</v>
      </c>
    </row>
    <row r="217" spans="2:18">
      <c r="B217">
        <v>836908.24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 s="5">
        <f t="shared" si="23"/>
        <v>0</v>
      </c>
      <c r="N217" s="5">
        <f t="shared" si="18"/>
        <v>0</v>
      </c>
      <c r="O217">
        <f t="shared" si="19"/>
        <v>1</v>
      </c>
      <c r="P217">
        <f t="shared" si="20"/>
        <v>0</v>
      </c>
      <c r="Q217">
        <f t="shared" si="21"/>
        <v>0</v>
      </c>
      <c r="R217">
        <f t="shared" si="22"/>
        <v>0</v>
      </c>
    </row>
    <row r="218" spans="2:18">
      <c r="B218">
        <v>674289.1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 s="5">
        <f t="shared" si="23"/>
        <v>1</v>
      </c>
      <c r="N218" s="5">
        <f t="shared" si="18"/>
        <v>0</v>
      </c>
      <c r="O218">
        <f t="shared" si="19"/>
        <v>0</v>
      </c>
      <c r="P218">
        <f t="shared" si="20"/>
        <v>1</v>
      </c>
      <c r="Q218">
        <f t="shared" si="21"/>
        <v>0</v>
      </c>
      <c r="R218">
        <f t="shared" si="22"/>
        <v>0</v>
      </c>
    </row>
    <row r="219" spans="2:18">
      <c r="B219">
        <v>622892.42000000004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 s="5">
        <f t="shared" si="23"/>
        <v>1</v>
      </c>
      <c r="N219" s="5">
        <f t="shared" si="18"/>
        <v>0</v>
      </c>
      <c r="O219">
        <f t="shared" si="19"/>
        <v>0</v>
      </c>
      <c r="P219">
        <f t="shared" si="20"/>
        <v>1</v>
      </c>
      <c r="Q219">
        <f t="shared" si="21"/>
        <v>0</v>
      </c>
      <c r="R219">
        <f t="shared" si="22"/>
        <v>0</v>
      </c>
    </row>
    <row r="220" spans="2:18">
      <c r="B220">
        <v>673348.56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 s="5">
        <f t="shared" si="23"/>
        <v>1</v>
      </c>
      <c r="N220" s="5">
        <f t="shared" si="18"/>
        <v>0</v>
      </c>
      <c r="O220">
        <f t="shared" si="19"/>
        <v>0</v>
      </c>
      <c r="P220">
        <f t="shared" si="20"/>
        <v>1</v>
      </c>
      <c r="Q220">
        <f t="shared" si="21"/>
        <v>0</v>
      </c>
      <c r="R220">
        <f t="shared" si="22"/>
        <v>0</v>
      </c>
    </row>
    <row r="221" spans="2:18">
      <c r="B221">
        <v>606278.30000000005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 s="5">
        <f t="shared" si="23"/>
        <v>1</v>
      </c>
      <c r="N221" s="5">
        <f t="shared" si="18"/>
        <v>0</v>
      </c>
      <c r="O221">
        <f t="shared" si="19"/>
        <v>0</v>
      </c>
      <c r="P221">
        <f t="shared" si="20"/>
        <v>1</v>
      </c>
      <c r="Q221">
        <f t="shared" si="21"/>
        <v>0</v>
      </c>
      <c r="R221">
        <f t="shared" si="22"/>
        <v>0</v>
      </c>
    </row>
    <row r="222" spans="2:18">
      <c r="B222">
        <v>712219.81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 s="5">
        <f t="shared" si="23"/>
        <v>0</v>
      </c>
      <c r="N222" s="5">
        <f t="shared" si="18"/>
        <v>0</v>
      </c>
      <c r="O222">
        <f t="shared" si="19"/>
        <v>0</v>
      </c>
      <c r="P222">
        <f t="shared" si="20"/>
        <v>0</v>
      </c>
      <c r="Q222">
        <f t="shared" si="21"/>
        <v>1</v>
      </c>
      <c r="R222">
        <f t="shared" si="22"/>
        <v>0</v>
      </c>
    </row>
    <row r="223" spans="2:18">
      <c r="B223">
        <v>672670.54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 s="5">
        <f t="shared" si="23"/>
        <v>0</v>
      </c>
      <c r="N223" s="5">
        <f t="shared" si="18"/>
        <v>0</v>
      </c>
      <c r="O223">
        <f t="shared" si="19"/>
        <v>0</v>
      </c>
      <c r="P223">
        <f t="shared" si="20"/>
        <v>0</v>
      </c>
      <c r="Q223">
        <f t="shared" si="21"/>
        <v>1</v>
      </c>
      <c r="R223">
        <f t="shared" si="22"/>
        <v>0</v>
      </c>
    </row>
    <row r="224" spans="2:18">
      <c r="B224">
        <v>732667.92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 s="5">
        <f t="shared" si="23"/>
        <v>0</v>
      </c>
      <c r="N224" s="5">
        <f t="shared" si="18"/>
        <v>0</v>
      </c>
      <c r="O224">
        <f t="shared" si="19"/>
        <v>0</v>
      </c>
      <c r="P224">
        <f t="shared" si="20"/>
        <v>0</v>
      </c>
      <c r="Q224">
        <f t="shared" si="21"/>
        <v>1</v>
      </c>
      <c r="R224">
        <f t="shared" si="22"/>
        <v>0</v>
      </c>
    </row>
    <row r="225" spans="2:18">
      <c r="B225">
        <v>723531.4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 s="5">
        <f t="shared" si="23"/>
        <v>0</v>
      </c>
      <c r="N225" s="5">
        <f t="shared" si="18"/>
        <v>0</v>
      </c>
      <c r="O225">
        <f t="shared" si="19"/>
        <v>0</v>
      </c>
      <c r="P225">
        <f t="shared" si="20"/>
        <v>0</v>
      </c>
      <c r="Q225">
        <f t="shared" si="21"/>
        <v>1</v>
      </c>
      <c r="R225">
        <f t="shared" si="22"/>
        <v>0</v>
      </c>
    </row>
    <row r="226" spans="2:18">
      <c r="B226">
        <v>641564.6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 s="5">
        <f t="shared" si="23"/>
        <v>0</v>
      </c>
      <c r="N226" s="5">
        <f t="shared" si="18"/>
        <v>0</v>
      </c>
      <c r="O226">
        <f t="shared" si="19"/>
        <v>0</v>
      </c>
      <c r="P226">
        <f t="shared" si="20"/>
        <v>0</v>
      </c>
      <c r="Q226">
        <f t="shared" si="21"/>
        <v>0</v>
      </c>
      <c r="R226">
        <f t="shared" si="22"/>
        <v>1</v>
      </c>
    </row>
    <row r="227" spans="2:18">
      <c r="B227">
        <v>536545.49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 s="5">
        <f t="shared" si="23"/>
        <v>0</v>
      </c>
      <c r="N227" s="5">
        <f t="shared" si="18"/>
        <v>0</v>
      </c>
      <c r="O227">
        <f t="shared" si="19"/>
        <v>0</v>
      </c>
      <c r="P227">
        <f t="shared" si="20"/>
        <v>0</v>
      </c>
      <c r="Q227">
        <f t="shared" si="21"/>
        <v>0</v>
      </c>
      <c r="R227">
        <f t="shared" si="22"/>
        <v>1</v>
      </c>
    </row>
    <row r="228" spans="2:18">
      <c r="B228">
        <v>527681.56000000006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 s="5">
        <f t="shared" si="23"/>
        <v>0</v>
      </c>
      <c r="N228" s="5">
        <f t="shared" si="18"/>
        <v>0</v>
      </c>
      <c r="O228">
        <f t="shared" si="19"/>
        <v>0</v>
      </c>
      <c r="P228">
        <f t="shared" si="20"/>
        <v>0</v>
      </c>
      <c r="Q228">
        <f t="shared" si="21"/>
        <v>0</v>
      </c>
      <c r="R228">
        <f t="shared" si="22"/>
        <v>1</v>
      </c>
    </row>
    <row r="229" spans="2:18">
      <c r="B229">
        <v>529598.93999999994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 s="7">
        <v>3.9</v>
      </c>
      <c r="M229" s="5">
        <f t="shared" si="23"/>
        <v>0</v>
      </c>
      <c r="N229" s="5">
        <f t="shared" si="18"/>
        <v>0</v>
      </c>
      <c r="O229">
        <f t="shared" si="19"/>
        <v>0</v>
      </c>
      <c r="P229">
        <f t="shared" si="20"/>
        <v>0</v>
      </c>
      <c r="Q229">
        <f t="shared" si="21"/>
        <v>0</v>
      </c>
      <c r="R229">
        <f t="shared" si="22"/>
        <v>1</v>
      </c>
    </row>
    <row r="230" spans="2:18">
      <c r="B230">
        <v>570963.31000000006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 s="5">
        <f t="shared" si="23"/>
        <v>0</v>
      </c>
      <c r="N230" s="5">
        <f t="shared" si="18"/>
        <v>0</v>
      </c>
      <c r="O230">
        <f t="shared" si="19"/>
        <v>0</v>
      </c>
      <c r="P230">
        <f t="shared" si="20"/>
        <v>0</v>
      </c>
      <c r="Q230">
        <f t="shared" si="21"/>
        <v>1</v>
      </c>
      <c r="R230">
        <f t="shared" si="22"/>
        <v>0</v>
      </c>
    </row>
    <row r="231" spans="2:18">
      <c r="B231">
        <v>870937.4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 s="5">
        <f t="shared" si="23"/>
        <v>0</v>
      </c>
      <c r="N231" s="5">
        <f t="shared" si="18"/>
        <v>0</v>
      </c>
      <c r="O231">
        <f t="shared" si="19"/>
        <v>0</v>
      </c>
      <c r="P231">
        <f t="shared" si="20"/>
        <v>0</v>
      </c>
      <c r="Q231">
        <f t="shared" si="21"/>
        <v>1</v>
      </c>
      <c r="R231">
        <f t="shared" si="22"/>
        <v>0</v>
      </c>
    </row>
    <row r="232" spans="2:18">
      <c r="B232">
        <v>596969.27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 s="5">
        <f t="shared" si="23"/>
        <v>0</v>
      </c>
      <c r="N232" s="5">
        <f t="shared" si="18"/>
        <v>0</v>
      </c>
      <c r="O232">
        <f t="shared" si="19"/>
        <v>0</v>
      </c>
      <c r="P232">
        <f t="shared" si="20"/>
        <v>0</v>
      </c>
      <c r="Q232">
        <f t="shared" si="21"/>
        <v>1</v>
      </c>
      <c r="R232">
        <f t="shared" si="22"/>
        <v>0</v>
      </c>
    </row>
    <row r="233" spans="2:18">
      <c r="B233">
        <v>647512.85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 s="6">
        <v>4.5999999999999996</v>
      </c>
      <c r="K233">
        <v>0</v>
      </c>
      <c r="L233">
        <v>3.7</v>
      </c>
      <c r="M233" s="5">
        <f t="shared" si="23"/>
        <v>0</v>
      </c>
      <c r="N233" s="5">
        <f t="shared" si="18"/>
        <v>0</v>
      </c>
      <c r="O233">
        <f t="shared" si="19"/>
        <v>0</v>
      </c>
      <c r="P233">
        <f t="shared" si="20"/>
        <v>0</v>
      </c>
      <c r="Q233">
        <f t="shared" si="21"/>
        <v>1</v>
      </c>
      <c r="R233">
        <f t="shared" si="22"/>
        <v>0</v>
      </c>
    </row>
    <row r="234" spans="2:18">
      <c r="B234">
        <v>658072.14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 s="5">
        <f t="shared" si="23"/>
        <v>0</v>
      </c>
      <c r="N234" s="5">
        <f t="shared" si="18"/>
        <v>0</v>
      </c>
      <c r="O234">
        <f t="shared" si="19"/>
        <v>1</v>
      </c>
      <c r="P234">
        <f t="shared" si="20"/>
        <v>0</v>
      </c>
      <c r="Q234">
        <f t="shared" si="21"/>
        <v>0</v>
      </c>
      <c r="R234">
        <f t="shared" si="22"/>
        <v>0</v>
      </c>
    </row>
    <row r="235" spans="2:18">
      <c r="B235">
        <v>723305.11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 s="5">
        <f t="shared" si="23"/>
        <v>0</v>
      </c>
      <c r="N235" s="5">
        <f t="shared" si="18"/>
        <v>0</v>
      </c>
      <c r="O235">
        <f t="shared" si="19"/>
        <v>1</v>
      </c>
      <c r="P235">
        <f t="shared" si="20"/>
        <v>0</v>
      </c>
      <c r="Q235">
        <f t="shared" si="21"/>
        <v>0</v>
      </c>
      <c r="R235">
        <f t="shared" si="22"/>
        <v>0</v>
      </c>
    </row>
    <row r="236" spans="2:18">
      <c r="B236">
        <v>640666.53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 s="5">
        <f t="shared" si="23"/>
        <v>0</v>
      </c>
      <c r="N236" s="5">
        <f t="shared" si="18"/>
        <v>0</v>
      </c>
      <c r="O236">
        <f t="shared" si="19"/>
        <v>1</v>
      </c>
      <c r="P236">
        <f t="shared" si="20"/>
        <v>0</v>
      </c>
      <c r="Q236">
        <f t="shared" si="21"/>
        <v>0</v>
      </c>
      <c r="R236">
        <f t="shared" si="22"/>
        <v>0</v>
      </c>
    </row>
    <row r="237" spans="2:18">
      <c r="B237">
        <v>670629.48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 s="5">
        <f t="shared" si="23"/>
        <v>0</v>
      </c>
      <c r="N237" s="5">
        <f t="shared" si="18"/>
        <v>0</v>
      </c>
      <c r="O237">
        <f t="shared" si="19"/>
        <v>1</v>
      </c>
      <c r="P237">
        <f t="shared" si="20"/>
        <v>0</v>
      </c>
      <c r="Q237">
        <f t="shared" si="21"/>
        <v>0</v>
      </c>
      <c r="R237">
        <f t="shared" si="22"/>
        <v>0</v>
      </c>
    </row>
    <row r="238" spans="2:18">
      <c r="B238">
        <v>721079.35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 s="5">
        <f t="shared" si="23"/>
        <v>0</v>
      </c>
      <c r="N238" s="5">
        <f t="shared" si="18"/>
        <v>0</v>
      </c>
      <c r="O238">
        <f t="shared" si="19"/>
        <v>1</v>
      </c>
      <c r="P238">
        <f t="shared" si="20"/>
        <v>0</v>
      </c>
      <c r="Q238">
        <f t="shared" si="21"/>
        <v>0</v>
      </c>
      <c r="R238">
        <f t="shared" si="22"/>
        <v>1</v>
      </c>
    </row>
    <row r="239" spans="2:18">
      <c r="B239">
        <v>810355.02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 s="5">
        <f t="shared" si="23"/>
        <v>0</v>
      </c>
      <c r="N239" s="5">
        <f t="shared" si="18"/>
        <v>0</v>
      </c>
      <c r="O239">
        <f t="shared" si="19"/>
        <v>1</v>
      </c>
      <c r="P239">
        <f t="shared" si="20"/>
        <v>0</v>
      </c>
      <c r="Q239">
        <f t="shared" si="21"/>
        <v>0</v>
      </c>
      <c r="R239">
        <f t="shared" si="22"/>
        <v>1</v>
      </c>
    </row>
    <row r="240" spans="2:18">
      <c r="B240">
        <v>761919.25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 s="5">
        <f t="shared" si="23"/>
        <v>0</v>
      </c>
      <c r="N240" s="5">
        <f t="shared" si="18"/>
        <v>0</v>
      </c>
      <c r="O240">
        <f t="shared" si="19"/>
        <v>1</v>
      </c>
      <c r="P240">
        <f t="shared" si="20"/>
        <v>0</v>
      </c>
      <c r="Q240">
        <f t="shared" si="21"/>
        <v>0</v>
      </c>
      <c r="R240">
        <f t="shared" si="22"/>
        <v>1</v>
      </c>
    </row>
    <row r="241" spans="2:18">
      <c r="B241">
        <v>737070.18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 s="5">
        <f t="shared" si="23"/>
        <v>0</v>
      </c>
      <c r="N241" s="5">
        <f t="shared" si="18"/>
        <v>0</v>
      </c>
      <c r="O241">
        <f t="shared" si="19"/>
        <v>1</v>
      </c>
      <c r="P241">
        <f t="shared" si="20"/>
        <v>0</v>
      </c>
      <c r="Q241">
        <f t="shared" si="21"/>
        <v>0</v>
      </c>
      <c r="R241">
        <f t="shared" si="22"/>
        <v>1</v>
      </c>
    </row>
    <row r="242" spans="2:18">
      <c r="B242">
        <v>776992.93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 s="5">
        <f t="shared" si="23"/>
        <v>0</v>
      </c>
      <c r="N242" s="5">
        <f t="shared" si="18"/>
        <v>1</v>
      </c>
      <c r="O242">
        <f t="shared" si="19"/>
        <v>0</v>
      </c>
      <c r="P242">
        <f t="shared" si="20"/>
        <v>1</v>
      </c>
      <c r="Q242">
        <f t="shared" si="21"/>
        <v>0</v>
      </c>
      <c r="R242">
        <f t="shared" si="22"/>
        <v>0</v>
      </c>
    </row>
    <row r="243" spans="2:18">
      <c r="B243">
        <v>676337.41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 s="5">
        <f t="shared" si="23"/>
        <v>0</v>
      </c>
      <c r="N243" s="5">
        <f t="shared" si="18"/>
        <v>1</v>
      </c>
      <c r="O243">
        <f t="shared" si="19"/>
        <v>0</v>
      </c>
      <c r="P243">
        <f t="shared" si="20"/>
        <v>1</v>
      </c>
      <c r="Q243">
        <f t="shared" si="21"/>
        <v>0</v>
      </c>
      <c r="R243">
        <f t="shared" si="22"/>
        <v>0</v>
      </c>
    </row>
    <row r="244" spans="2:18">
      <c r="B244">
        <v>828219.67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 s="5">
        <f t="shared" si="23"/>
        <v>0</v>
      </c>
      <c r="N244" s="5">
        <f t="shared" si="18"/>
        <v>1</v>
      </c>
      <c r="O244">
        <f t="shared" si="19"/>
        <v>0</v>
      </c>
      <c r="P244">
        <f t="shared" si="20"/>
        <v>1</v>
      </c>
      <c r="Q244">
        <f t="shared" si="21"/>
        <v>0</v>
      </c>
      <c r="R244">
        <f t="shared" si="22"/>
        <v>0</v>
      </c>
    </row>
    <row r="245" spans="2:18">
      <c r="B245">
        <v>763159.92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 s="5">
        <f t="shared" si="23"/>
        <v>0</v>
      </c>
      <c r="N245" s="5">
        <f t="shared" si="18"/>
        <v>1</v>
      </c>
      <c r="O245">
        <f t="shared" si="19"/>
        <v>0</v>
      </c>
      <c r="P245">
        <f t="shared" si="20"/>
        <v>1</v>
      </c>
      <c r="Q245">
        <f t="shared" si="21"/>
        <v>0</v>
      </c>
      <c r="R245">
        <f t="shared" si="22"/>
        <v>0</v>
      </c>
    </row>
    <row r="246" spans="2:18">
      <c r="B246">
        <v>802001.68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 s="5">
        <f t="shared" si="23"/>
        <v>0</v>
      </c>
      <c r="N246" s="5">
        <f t="shared" si="18"/>
        <v>0</v>
      </c>
      <c r="O246">
        <f t="shared" si="19"/>
        <v>0</v>
      </c>
      <c r="P246">
        <f t="shared" si="20"/>
        <v>0</v>
      </c>
      <c r="Q246">
        <f t="shared" si="21"/>
        <v>1</v>
      </c>
      <c r="R246">
        <f t="shared" si="22"/>
        <v>0</v>
      </c>
    </row>
    <row r="247" spans="2:18">
      <c r="B247">
        <v>750471.34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 s="5">
        <f t="shared" si="23"/>
        <v>0</v>
      </c>
      <c r="N247" s="5">
        <f t="shared" si="18"/>
        <v>0</v>
      </c>
      <c r="O247">
        <f t="shared" si="19"/>
        <v>0</v>
      </c>
      <c r="P247">
        <f t="shared" si="20"/>
        <v>0</v>
      </c>
      <c r="Q247">
        <f t="shared" si="21"/>
        <v>1</v>
      </c>
      <c r="R247">
        <f t="shared" si="22"/>
        <v>0</v>
      </c>
    </row>
    <row r="248" spans="2:18">
      <c r="B248">
        <v>679230.86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 s="5">
        <f t="shared" si="23"/>
        <v>0</v>
      </c>
      <c r="N248" s="5">
        <f t="shared" si="18"/>
        <v>0</v>
      </c>
      <c r="O248">
        <f t="shared" si="19"/>
        <v>0</v>
      </c>
      <c r="P248">
        <f t="shared" si="20"/>
        <v>0</v>
      </c>
      <c r="Q248">
        <f t="shared" si="21"/>
        <v>1</v>
      </c>
      <c r="R248">
        <f t="shared" si="22"/>
        <v>0</v>
      </c>
    </row>
    <row r="249" spans="2:18">
      <c r="B249">
        <v>679888.74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 s="5">
        <f t="shared" si="23"/>
        <v>0</v>
      </c>
      <c r="N249" s="5">
        <f t="shared" si="18"/>
        <v>0</v>
      </c>
      <c r="O249">
        <f t="shared" si="19"/>
        <v>0</v>
      </c>
      <c r="P249">
        <f t="shared" si="20"/>
        <v>0</v>
      </c>
      <c r="Q249">
        <f t="shared" si="21"/>
        <v>1</v>
      </c>
      <c r="R249">
        <f t="shared" si="22"/>
        <v>0</v>
      </c>
    </row>
    <row r="250" spans="2:18">
      <c r="B250">
        <v>606783.67000000004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 s="6">
        <v>4.5999999999999996</v>
      </c>
      <c r="K250">
        <v>0</v>
      </c>
      <c r="L250">
        <v>3.8</v>
      </c>
      <c r="M250" s="5">
        <f t="shared" si="23"/>
        <v>1</v>
      </c>
      <c r="N250" s="5">
        <f t="shared" si="18"/>
        <v>0</v>
      </c>
      <c r="O250">
        <f t="shared" si="19"/>
        <v>0</v>
      </c>
      <c r="P250">
        <f t="shared" si="20"/>
        <v>0</v>
      </c>
      <c r="Q250">
        <f t="shared" si="21"/>
        <v>1</v>
      </c>
      <c r="R250">
        <f t="shared" si="22"/>
        <v>0</v>
      </c>
    </row>
    <row r="251" spans="2:18">
      <c r="B251">
        <v>642751.42000000004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 s="5">
        <f t="shared" si="23"/>
        <v>1</v>
      </c>
      <c r="N251" s="5">
        <f t="shared" si="18"/>
        <v>0</v>
      </c>
      <c r="O251">
        <f t="shared" si="19"/>
        <v>0</v>
      </c>
      <c r="P251">
        <f t="shared" si="20"/>
        <v>0</v>
      </c>
      <c r="Q251">
        <f t="shared" si="21"/>
        <v>1</v>
      </c>
      <c r="R251">
        <f t="shared" si="22"/>
        <v>0</v>
      </c>
    </row>
    <row r="252" spans="2:18">
      <c r="B252">
        <v>647953.78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 s="5">
        <f t="shared" si="23"/>
        <v>1</v>
      </c>
      <c r="N252" s="5">
        <f t="shared" si="18"/>
        <v>0</v>
      </c>
      <c r="O252">
        <f t="shared" si="19"/>
        <v>0</v>
      </c>
      <c r="P252">
        <f t="shared" si="20"/>
        <v>0</v>
      </c>
      <c r="Q252">
        <f t="shared" si="21"/>
        <v>1</v>
      </c>
      <c r="R252">
        <f t="shared" si="22"/>
        <v>0</v>
      </c>
    </row>
    <row r="253" spans="2:18">
      <c r="B253">
        <v>729440.45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 s="5">
        <f t="shared" si="23"/>
        <v>1</v>
      </c>
      <c r="N253" s="5">
        <f t="shared" si="18"/>
        <v>0</v>
      </c>
      <c r="O253">
        <f t="shared" si="19"/>
        <v>0</v>
      </c>
      <c r="P253">
        <f t="shared" si="20"/>
        <v>0</v>
      </c>
      <c r="Q253">
        <f t="shared" si="21"/>
        <v>1</v>
      </c>
      <c r="R253">
        <f t="shared" si="22"/>
        <v>0</v>
      </c>
    </row>
    <row r="254" spans="2:18">
      <c r="B254">
        <v>764949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 s="5">
        <f t="shared" si="23"/>
        <v>0</v>
      </c>
      <c r="N254" s="5">
        <f t="shared" si="18"/>
        <v>1</v>
      </c>
      <c r="O254">
        <f t="shared" si="19"/>
        <v>0</v>
      </c>
      <c r="P254">
        <f t="shared" si="20"/>
        <v>1</v>
      </c>
      <c r="Q254">
        <f t="shared" si="21"/>
        <v>0</v>
      </c>
      <c r="R254">
        <f t="shared" si="22"/>
        <v>0</v>
      </c>
    </row>
    <row r="255" spans="2:18">
      <c r="B255">
        <v>799046.94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 s="5">
        <f t="shared" si="23"/>
        <v>0</v>
      </c>
      <c r="N255" s="5">
        <f t="shared" si="18"/>
        <v>1</v>
      </c>
      <c r="O255">
        <f t="shared" si="19"/>
        <v>0</v>
      </c>
      <c r="P255">
        <f t="shared" si="20"/>
        <v>1</v>
      </c>
      <c r="Q255">
        <f t="shared" si="21"/>
        <v>0</v>
      </c>
      <c r="R255">
        <f t="shared" si="22"/>
        <v>0</v>
      </c>
    </row>
    <row r="256" spans="2:18">
      <c r="B256">
        <v>720079.54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 s="5">
        <f t="shared" si="23"/>
        <v>0</v>
      </c>
      <c r="N256" s="5">
        <f t="shared" si="18"/>
        <v>1</v>
      </c>
      <c r="O256">
        <f t="shared" si="19"/>
        <v>0</v>
      </c>
      <c r="P256">
        <f t="shared" si="20"/>
        <v>1</v>
      </c>
      <c r="Q256">
        <f t="shared" si="21"/>
        <v>0</v>
      </c>
      <c r="R256">
        <f t="shared" si="22"/>
        <v>0</v>
      </c>
    </row>
    <row r="257" spans="2:18">
      <c r="B257">
        <v>612390.14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 s="5">
        <f t="shared" si="23"/>
        <v>0</v>
      </c>
      <c r="N257" s="5">
        <f t="shared" si="18"/>
        <v>1</v>
      </c>
      <c r="O257">
        <f t="shared" si="19"/>
        <v>0</v>
      </c>
      <c r="P257">
        <f t="shared" si="20"/>
        <v>1</v>
      </c>
      <c r="Q257">
        <f t="shared" si="21"/>
        <v>0</v>
      </c>
      <c r="R257">
        <f t="shared" si="22"/>
        <v>0</v>
      </c>
    </row>
    <row r="258" spans="2:18">
      <c r="B258">
        <v>840108.12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 s="5">
        <f t="shared" si="23"/>
        <v>0</v>
      </c>
      <c r="N258" s="5">
        <f t="shared" si="18"/>
        <v>1</v>
      </c>
      <c r="O258">
        <f t="shared" si="19"/>
        <v>0</v>
      </c>
      <c r="P258">
        <f t="shared" si="20"/>
        <v>0</v>
      </c>
      <c r="Q258">
        <f t="shared" si="21"/>
        <v>0</v>
      </c>
      <c r="R258">
        <f t="shared" si="22"/>
        <v>1</v>
      </c>
    </row>
    <row r="259" spans="2:18">
      <c r="B259">
        <v>697888.09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 s="5">
        <f t="shared" si="23"/>
        <v>0</v>
      </c>
      <c r="N259" s="5">
        <f t="shared" ref="N259:N321" si="24">IF($C259="South",1,0)</f>
        <v>1</v>
      </c>
      <c r="O259">
        <f t="shared" ref="O259:O321" si="25">IF($C259="West",1,0)</f>
        <v>0</v>
      </c>
      <c r="P259">
        <f t="shared" ref="P259:P321" si="26">IF($D259="Airport",1,0)</f>
        <v>0</v>
      </c>
      <c r="Q259">
        <f t="shared" ref="Q259:Q321" si="27">IF($D259="High Street",1,0)</f>
        <v>0</v>
      </c>
      <c r="R259">
        <f t="shared" ref="R259:R321" si="28">IF($D259="Mall",1,0)</f>
        <v>1</v>
      </c>
    </row>
    <row r="260" spans="2:18">
      <c r="B260">
        <v>746115.59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 s="5">
        <f t="shared" ref="M260:M321" si="29">IF($C260="North",1,0)</f>
        <v>0</v>
      </c>
      <c r="N260" s="5">
        <f t="shared" si="24"/>
        <v>1</v>
      </c>
      <c r="O260">
        <f t="shared" si="25"/>
        <v>0</v>
      </c>
      <c r="P260">
        <f t="shared" si="26"/>
        <v>0</v>
      </c>
      <c r="Q260">
        <f t="shared" si="27"/>
        <v>0</v>
      </c>
      <c r="R260">
        <f t="shared" si="28"/>
        <v>1</v>
      </c>
    </row>
    <row r="261" spans="2:18">
      <c r="B261">
        <v>776110.32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 s="5">
        <f t="shared" si="29"/>
        <v>0</v>
      </c>
      <c r="N261" s="5">
        <f t="shared" si="24"/>
        <v>1</v>
      </c>
      <c r="O261">
        <f t="shared" si="25"/>
        <v>0</v>
      </c>
      <c r="P261">
        <f t="shared" si="26"/>
        <v>0</v>
      </c>
      <c r="Q261">
        <f t="shared" si="27"/>
        <v>0</v>
      </c>
      <c r="R261">
        <f t="shared" si="28"/>
        <v>1</v>
      </c>
    </row>
    <row r="262" spans="2:18">
      <c r="B262">
        <v>528852.62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 s="5">
        <f t="shared" si="29"/>
        <v>0</v>
      </c>
      <c r="N262" s="5">
        <f t="shared" si="24"/>
        <v>0</v>
      </c>
      <c r="O262">
        <f t="shared" si="25"/>
        <v>1</v>
      </c>
      <c r="P262">
        <f t="shared" si="26"/>
        <v>0</v>
      </c>
      <c r="Q262">
        <f t="shared" si="27"/>
        <v>1</v>
      </c>
      <c r="R262">
        <f t="shared" si="28"/>
        <v>0</v>
      </c>
    </row>
    <row r="263" spans="2:18">
      <c r="B263">
        <v>605751.32999999996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 s="6">
        <v>4.5999999999999996</v>
      </c>
      <c r="K263">
        <v>0</v>
      </c>
      <c r="L263">
        <v>4.2</v>
      </c>
      <c r="M263" s="5">
        <f t="shared" si="29"/>
        <v>0</v>
      </c>
      <c r="N263" s="5">
        <f t="shared" si="24"/>
        <v>0</v>
      </c>
      <c r="O263">
        <f t="shared" si="25"/>
        <v>1</v>
      </c>
      <c r="P263">
        <f t="shared" si="26"/>
        <v>0</v>
      </c>
      <c r="Q263">
        <f t="shared" si="27"/>
        <v>1</v>
      </c>
      <c r="R263">
        <f t="shared" si="28"/>
        <v>0</v>
      </c>
    </row>
    <row r="264" spans="2:18">
      <c r="B264">
        <v>677640.65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 s="5">
        <f t="shared" si="29"/>
        <v>0</v>
      </c>
      <c r="N264" s="5">
        <f t="shared" si="24"/>
        <v>0</v>
      </c>
      <c r="O264">
        <f t="shared" si="25"/>
        <v>1</v>
      </c>
      <c r="P264">
        <f t="shared" si="26"/>
        <v>0</v>
      </c>
      <c r="Q264">
        <f t="shared" si="27"/>
        <v>1</v>
      </c>
      <c r="R264">
        <f t="shared" si="28"/>
        <v>0</v>
      </c>
    </row>
    <row r="265" spans="2:18">
      <c r="B265">
        <v>636613.23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 s="5">
        <f t="shared" si="29"/>
        <v>0</v>
      </c>
      <c r="N265" s="5">
        <f t="shared" si="24"/>
        <v>0</v>
      </c>
      <c r="O265">
        <f t="shared" si="25"/>
        <v>1</v>
      </c>
      <c r="P265">
        <f t="shared" si="26"/>
        <v>0</v>
      </c>
      <c r="Q265">
        <f t="shared" si="27"/>
        <v>1</v>
      </c>
      <c r="R265">
        <f t="shared" si="28"/>
        <v>0</v>
      </c>
    </row>
    <row r="266" spans="2:18">
      <c r="B266">
        <v>708985.19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 s="5">
        <f t="shared" si="29"/>
        <v>0</v>
      </c>
      <c r="N266" s="5">
        <f t="shared" si="24"/>
        <v>0</v>
      </c>
      <c r="O266">
        <f t="shared" si="25"/>
        <v>0</v>
      </c>
      <c r="P266">
        <f t="shared" si="26"/>
        <v>0</v>
      </c>
      <c r="Q266">
        <f t="shared" si="27"/>
        <v>1</v>
      </c>
      <c r="R266">
        <f t="shared" si="28"/>
        <v>0</v>
      </c>
    </row>
    <row r="267" spans="2:18">
      <c r="B267">
        <v>767792.94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 s="5">
        <f t="shared" si="29"/>
        <v>0</v>
      </c>
      <c r="N267" s="5">
        <f t="shared" si="24"/>
        <v>0</v>
      </c>
      <c r="O267">
        <f t="shared" si="25"/>
        <v>0</v>
      </c>
      <c r="P267">
        <f t="shared" si="26"/>
        <v>0</v>
      </c>
      <c r="Q267">
        <f t="shared" si="27"/>
        <v>1</v>
      </c>
      <c r="R267">
        <f t="shared" si="28"/>
        <v>0</v>
      </c>
    </row>
    <row r="268" spans="2:18">
      <c r="B268">
        <v>745580.51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 s="5">
        <f t="shared" si="29"/>
        <v>0</v>
      </c>
      <c r="N268" s="5">
        <f t="shared" si="24"/>
        <v>0</v>
      </c>
      <c r="O268">
        <f t="shared" si="25"/>
        <v>0</v>
      </c>
      <c r="P268">
        <f t="shared" si="26"/>
        <v>0</v>
      </c>
      <c r="Q268">
        <f t="shared" si="27"/>
        <v>1</v>
      </c>
      <c r="R268">
        <f t="shared" si="28"/>
        <v>0</v>
      </c>
    </row>
    <row r="269" spans="2:18">
      <c r="B269">
        <v>762328.31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 s="5">
        <f t="shared" si="29"/>
        <v>0</v>
      </c>
      <c r="N269" s="5">
        <f t="shared" si="24"/>
        <v>0</v>
      </c>
      <c r="O269">
        <f t="shared" si="25"/>
        <v>0</v>
      </c>
      <c r="P269">
        <f t="shared" si="26"/>
        <v>0</v>
      </c>
      <c r="Q269">
        <f t="shared" si="27"/>
        <v>1</v>
      </c>
      <c r="R269">
        <f t="shared" si="28"/>
        <v>0</v>
      </c>
    </row>
    <row r="270" spans="2:18">
      <c r="B270">
        <v>660633.99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 s="5">
        <f t="shared" si="29"/>
        <v>0</v>
      </c>
      <c r="N270" s="5">
        <f t="shared" si="24"/>
        <v>0</v>
      </c>
      <c r="O270">
        <f t="shared" si="25"/>
        <v>0</v>
      </c>
      <c r="P270">
        <f t="shared" si="26"/>
        <v>0</v>
      </c>
      <c r="Q270">
        <f t="shared" si="27"/>
        <v>0</v>
      </c>
      <c r="R270">
        <f t="shared" si="28"/>
        <v>1</v>
      </c>
    </row>
    <row r="271" spans="2:18">
      <c r="B271">
        <v>739374.56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 s="5">
        <f t="shared" si="29"/>
        <v>0</v>
      </c>
      <c r="N271" s="5">
        <f t="shared" si="24"/>
        <v>0</v>
      </c>
      <c r="O271">
        <f t="shared" si="25"/>
        <v>0</v>
      </c>
      <c r="P271">
        <f t="shared" si="26"/>
        <v>0</v>
      </c>
      <c r="Q271">
        <f t="shared" si="27"/>
        <v>0</v>
      </c>
      <c r="R271">
        <f t="shared" si="28"/>
        <v>1</v>
      </c>
    </row>
    <row r="272" spans="2:18">
      <c r="B272">
        <v>799756.46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 s="5">
        <f t="shared" si="29"/>
        <v>0</v>
      </c>
      <c r="N272" s="5">
        <f t="shared" si="24"/>
        <v>0</v>
      </c>
      <c r="O272">
        <f t="shared" si="25"/>
        <v>0</v>
      </c>
      <c r="P272">
        <f t="shared" si="26"/>
        <v>0</v>
      </c>
      <c r="Q272">
        <f t="shared" si="27"/>
        <v>0</v>
      </c>
      <c r="R272">
        <f t="shared" si="28"/>
        <v>1</v>
      </c>
    </row>
    <row r="273" spans="2:18">
      <c r="B273">
        <v>593343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 s="5">
        <f t="shared" si="29"/>
        <v>0</v>
      </c>
      <c r="N273" s="5">
        <f t="shared" si="24"/>
        <v>0</v>
      </c>
      <c r="O273">
        <f t="shared" si="25"/>
        <v>0</v>
      </c>
      <c r="P273">
        <f t="shared" si="26"/>
        <v>0</v>
      </c>
      <c r="Q273">
        <f t="shared" si="27"/>
        <v>0</v>
      </c>
      <c r="R273">
        <f t="shared" si="28"/>
        <v>1</v>
      </c>
    </row>
    <row r="274" spans="2:18">
      <c r="B274">
        <v>645039.97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 s="5">
        <f t="shared" si="29"/>
        <v>0</v>
      </c>
      <c r="N274" s="5">
        <f t="shared" si="24"/>
        <v>0</v>
      </c>
      <c r="O274">
        <f t="shared" si="25"/>
        <v>1</v>
      </c>
      <c r="P274">
        <f t="shared" si="26"/>
        <v>0</v>
      </c>
      <c r="Q274">
        <f t="shared" si="27"/>
        <v>1</v>
      </c>
      <c r="R274">
        <f t="shared" si="28"/>
        <v>0</v>
      </c>
    </row>
    <row r="275" spans="2:18">
      <c r="B275">
        <v>561597.32999999996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 s="5">
        <f t="shared" si="29"/>
        <v>0</v>
      </c>
      <c r="N275" s="5">
        <f t="shared" si="24"/>
        <v>0</v>
      </c>
      <c r="O275">
        <f t="shared" si="25"/>
        <v>1</v>
      </c>
      <c r="P275">
        <f t="shared" si="26"/>
        <v>0</v>
      </c>
      <c r="Q275">
        <f t="shared" si="27"/>
        <v>1</v>
      </c>
      <c r="R275">
        <f t="shared" si="28"/>
        <v>0</v>
      </c>
    </row>
    <row r="276" spans="2:18">
      <c r="B276">
        <v>635837.74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 s="5">
        <f t="shared" si="29"/>
        <v>0</v>
      </c>
      <c r="N276" s="5">
        <f t="shared" si="24"/>
        <v>0</v>
      </c>
      <c r="O276">
        <f t="shared" si="25"/>
        <v>1</v>
      </c>
      <c r="P276">
        <f t="shared" si="26"/>
        <v>0</v>
      </c>
      <c r="Q276">
        <f t="shared" si="27"/>
        <v>1</v>
      </c>
      <c r="R276">
        <f t="shared" si="28"/>
        <v>0</v>
      </c>
    </row>
    <row r="277" spans="2:18">
      <c r="B277">
        <v>686737.87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 s="5">
        <f t="shared" si="29"/>
        <v>0</v>
      </c>
      <c r="N277" s="5">
        <f t="shared" si="24"/>
        <v>0</v>
      </c>
      <c r="O277">
        <f t="shared" si="25"/>
        <v>1</v>
      </c>
      <c r="P277">
        <f t="shared" si="26"/>
        <v>0</v>
      </c>
      <c r="Q277">
        <f t="shared" si="27"/>
        <v>1</v>
      </c>
      <c r="R277">
        <f t="shared" si="28"/>
        <v>0</v>
      </c>
    </row>
    <row r="278" spans="2:18">
      <c r="B278">
        <v>673076.34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 s="5">
        <f t="shared" si="29"/>
        <v>0</v>
      </c>
      <c r="N278" s="5">
        <f t="shared" si="24"/>
        <v>1</v>
      </c>
      <c r="O278">
        <f t="shared" si="25"/>
        <v>0</v>
      </c>
      <c r="P278">
        <f t="shared" si="26"/>
        <v>0</v>
      </c>
      <c r="Q278">
        <f t="shared" si="27"/>
        <v>0</v>
      </c>
      <c r="R278">
        <f t="shared" si="28"/>
        <v>0</v>
      </c>
    </row>
    <row r="279" spans="2:18">
      <c r="B279">
        <v>738548.42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 s="5">
        <f t="shared" si="29"/>
        <v>0</v>
      </c>
      <c r="N279" s="5">
        <f t="shared" si="24"/>
        <v>1</v>
      </c>
      <c r="O279">
        <f t="shared" si="25"/>
        <v>0</v>
      </c>
      <c r="P279">
        <f t="shared" si="26"/>
        <v>0</v>
      </c>
      <c r="Q279">
        <f t="shared" si="27"/>
        <v>0</v>
      </c>
      <c r="R279">
        <f t="shared" si="28"/>
        <v>0</v>
      </c>
    </row>
    <row r="280" spans="2:18">
      <c r="B280">
        <v>756619.77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 s="5">
        <f t="shared" si="29"/>
        <v>0</v>
      </c>
      <c r="N280" s="5">
        <f t="shared" si="24"/>
        <v>1</v>
      </c>
      <c r="O280">
        <f t="shared" si="25"/>
        <v>0</v>
      </c>
      <c r="P280">
        <f t="shared" si="26"/>
        <v>0</v>
      </c>
      <c r="Q280">
        <f t="shared" si="27"/>
        <v>0</v>
      </c>
      <c r="R280">
        <f t="shared" si="28"/>
        <v>0</v>
      </c>
    </row>
    <row r="281" spans="2:18">
      <c r="B281">
        <v>761122.42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 s="5">
        <f t="shared" si="29"/>
        <v>0</v>
      </c>
      <c r="N281" s="5">
        <f t="shared" si="24"/>
        <v>1</v>
      </c>
      <c r="O281">
        <f t="shared" si="25"/>
        <v>0</v>
      </c>
      <c r="P281">
        <f t="shared" si="26"/>
        <v>0</v>
      </c>
      <c r="Q281">
        <f t="shared" si="27"/>
        <v>0</v>
      </c>
      <c r="R281">
        <f t="shared" si="28"/>
        <v>0</v>
      </c>
    </row>
    <row r="282" spans="2:18">
      <c r="B282">
        <v>524899.56999999995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 s="5">
        <f t="shared" si="29"/>
        <v>0</v>
      </c>
      <c r="N282" s="5">
        <f t="shared" si="24"/>
        <v>1</v>
      </c>
      <c r="O282">
        <f t="shared" si="25"/>
        <v>0</v>
      </c>
      <c r="P282">
        <f t="shared" si="26"/>
        <v>0</v>
      </c>
      <c r="Q282">
        <f t="shared" si="27"/>
        <v>1</v>
      </c>
      <c r="R282">
        <f t="shared" si="28"/>
        <v>0</v>
      </c>
    </row>
    <row r="283" spans="2:18">
      <c r="B283">
        <v>555557.77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 s="5">
        <f t="shared" si="29"/>
        <v>0</v>
      </c>
      <c r="N283" s="5">
        <f t="shared" si="24"/>
        <v>1</v>
      </c>
      <c r="O283">
        <f t="shared" si="25"/>
        <v>0</v>
      </c>
      <c r="P283">
        <f t="shared" si="26"/>
        <v>0</v>
      </c>
      <c r="Q283">
        <f t="shared" si="27"/>
        <v>1</v>
      </c>
      <c r="R283">
        <f t="shared" si="28"/>
        <v>0</v>
      </c>
    </row>
    <row r="284" spans="2:18">
      <c r="B284">
        <v>714083.68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 s="5">
        <f t="shared" si="29"/>
        <v>0</v>
      </c>
      <c r="N284" s="5">
        <f t="shared" si="24"/>
        <v>1</v>
      </c>
      <c r="O284">
        <f t="shared" si="25"/>
        <v>0</v>
      </c>
      <c r="P284">
        <f t="shared" si="26"/>
        <v>0</v>
      </c>
      <c r="Q284">
        <f t="shared" si="27"/>
        <v>1</v>
      </c>
      <c r="R284">
        <f t="shared" si="28"/>
        <v>0</v>
      </c>
    </row>
    <row r="285" spans="2:18">
      <c r="B285">
        <v>497439.82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 s="5">
        <f t="shared" si="29"/>
        <v>0</v>
      </c>
      <c r="N285" s="5">
        <f t="shared" si="24"/>
        <v>1</v>
      </c>
      <c r="O285">
        <f t="shared" si="25"/>
        <v>0</v>
      </c>
      <c r="P285">
        <f t="shared" si="26"/>
        <v>0</v>
      </c>
      <c r="Q285">
        <f t="shared" si="27"/>
        <v>1</v>
      </c>
      <c r="R285">
        <f t="shared" si="28"/>
        <v>0</v>
      </c>
    </row>
    <row r="286" spans="2:18">
      <c r="B286">
        <v>636775.66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 s="5">
        <f t="shared" si="29"/>
        <v>0</v>
      </c>
      <c r="N286" s="5">
        <f t="shared" si="24"/>
        <v>0</v>
      </c>
      <c r="O286">
        <f t="shared" si="25"/>
        <v>1</v>
      </c>
      <c r="P286">
        <f t="shared" si="26"/>
        <v>0</v>
      </c>
      <c r="Q286">
        <f t="shared" si="27"/>
        <v>0</v>
      </c>
      <c r="R286">
        <f t="shared" si="28"/>
        <v>0</v>
      </c>
    </row>
    <row r="287" spans="2:18">
      <c r="B287">
        <v>633009.53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 s="5">
        <f t="shared" si="29"/>
        <v>0</v>
      </c>
      <c r="N287" s="5">
        <f t="shared" si="24"/>
        <v>0</v>
      </c>
      <c r="O287">
        <f t="shared" si="25"/>
        <v>1</v>
      </c>
      <c r="P287">
        <f t="shared" si="26"/>
        <v>0</v>
      </c>
      <c r="Q287">
        <f t="shared" si="27"/>
        <v>0</v>
      </c>
      <c r="R287">
        <f t="shared" si="28"/>
        <v>0</v>
      </c>
    </row>
    <row r="288" spans="2:18">
      <c r="B288">
        <v>609949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 s="5">
        <f t="shared" si="29"/>
        <v>0</v>
      </c>
      <c r="N288" s="5">
        <f t="shared" si="24"/>
        <v>0</v>
      </c>
      <c r="O288">
        <f t="shared" si="25"/>
        <v>1</v>
      </c>
      <c r="P288">
        <f t="shared" si="26"/>
        <v>0</v>
      </c>
      <c r="Q288">
        <f t="shared" si="27"/>
        <v>0</v>
      </c>
      <c r="R288">
        <f t="shared" si="28"/>
        <v>0</v>
      </c>
    </row>
    <row r="289" spans="2:18">
      <c r="B289">
        <v>548103.69999999995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 s="5">
        <f t="shared" si="29"/>
        <v>0</v>
      </c>
      <c r="N289" s="5">
        <f t="shared" si="24"/>
        <v>0</v>
      </c>
      <c r="O289">
        <f t="shared" si="25"/>
        <v>1</v>
      </c>
      <c r="P289">
        <f t="shared" si="26"/>
        <v>0</v>
      </c>
      <c r="Q289">
        <f t="shared" si="27"/>
        <v>0</v>
      </c>
      <c r="R289">
        <f t="shared" si="28"/>
        <v>0</v>
      </c>
    </row>
    <row r="290" spans="2:18">
      <c r="B290">
        <v>729424.42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 s="5">
        <f t="shared" si="29"/>
        <v>0</v>
      </c>
      <c r="N290" s="5">
        <f t="shared" si="24"/>
        <v>0</v>
      </c>
      <c r="O290">
        <f t="shared" si="25"/>
        <v>0</v>
      </c>
      <c r="P290">
        <f t="shared" si="26"/>
        <v>0</v>
      </c>
      <c r="Q290">
        <f t="shared" si="27"/>
        <v>0</v>
      </c>
      <c r="R290">
        <f t="shared" si="28"/>
        <v>0</v>
      </c>
    </row>
    <row r="291" spans="2:18">
      <c r="B291">
        <v>696261.49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 s="5">
        <f t="shared" si="29"/>
        <v>0</v>
      </c>
      <c r="N291" s="5">
        <f t="shared" si="24"/>
        <v>0</v>
      </c>
      <c r="O291">
        <f t="shared" si="25"/>
        <v>0</v>
      </c>
      <c r="P291">
        <f t="shared" si="26"/>
        <v>0</v>
      </c>
      <c r="Q291">
        <f t="shared" si="27"/>
        <v>0</v>
      </c>
      <c r="R291">
        <f t="shared" si="28"/>
        <v>0</v>
      </c>
    </row>
    <row r="292" spans="2:18">
      <c r="B292">
        <v>813316.71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 s="5">
        <f t="shared" si="29"/>
        <v>0</v>
      </c>
      <c r="N292" s="5">
        <f t="shared" si="24"/>
        <v>0</v>
      </c>
      <c r="O292">
        <f t="shared" si="25"/>
        <v>0</v>
      </c>
      <c r="P292">
        <f t="shared" si="26"/>
        <v>0</v>
      </c>
      <c r="Q292">
        <f t="shared" si="27"/>
        <v>0</v>
      </c>
      <c r="R292">
        <f t="shared" si="28"/>
        <v>0</v>
      </c>
    </row>
    <row r="293" spans="2:18">
      <c r="B293">
        <v>702068.92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 s="5">
        <f t="shared" si="29"/>
        <v>0</v>
      </c>
      <c r="N293" s="5">
        <f t="shared" si="24"/>
        <v>0</v>
      </c>
      <c r="O293">
        <f t="shared" si="25"/>
        <v>0</v>
      </c>
      <c r="P293">
        <f t="shared" si="26"/>
        <v>0</v>
      </c>
      <c r="Q293">
        <f t="shared" si="27"/>
        <v>0</v>
      </c>
      <c r="R293">
        <f t="shared" si="28"/>
        <v>0</v>
      </c>
    </row>
    <row r="294" spans="2:18">
      <c r="B294">
        <v>546223.69999999995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 s="5">
        <f t="shared" si="29"/>
        <v>0</v>
      </c>
      <c r="N294" s="5">
        <f t="shared" si="24"/>
        <v>0</v>
      </c>
      <c r="O294">
        <f t="shared" si="25"/>
        <v>1</v>
      </c>
      <c r="P294">
        <f t="shared" si="26"/>
        <v>0</v>
      </c>
      <c r="Q294">
        <f t="shared" si="27"/>
        <v>1</v>
      </c>
      <c r="R294">
        <f t="shared" si="28"/>
        <v>0</v>
      </c>
    </row>
    <row r="295" spans="2:18">
      <c r="B295">
        <v>533121.26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 s="5">
        <f t="shared" si="29"/>
        <v>0</v>
      </c>
      <c r="N295" s="5">
        <f t="shared" si="24"/>
        <v>0</v>
      </c>
      <c r="O295">
        <f t="shared" si="25"/>
        <v>1</v>
      </c>
      <c r="P295">
        <f t="shared" si="26"/>
        <v>0</v>
      </c>
      <c r="Q295">
        <f t="shared" si="27"/>
        <v>1</v>
      </c>
      <c r="R295">
        <f t="shared" si="28"/>
        <v>0</v>
      </c>
    </row>
    <row r="296" spans="2:18">
      <c r="B296">
        <v>498970.32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 s="5">
        <f t="shared" si="29"/>
        <v>0</v>
      </c>
      <c r="N296" s="5">
        <f t="shared" si="24"/>
        <v>0</v>
      </c>
      <c r="O296">
        <f t="shared" si="25"/>
        <v>1</v>
      </c>
      <c r="P296">
        <f t="shared" si="26"/>
        <v>0</v>
      </c>
      <c r="Q296">
        <f t="shared" si="27"/>
        <v>1</v>
      </c>
      <c r="R296">
        <f t="shared" si="28"/>
        <v>0</v>
      </c>
    </row>
    <row r="297" spans="2:18">
      <c r="B297">
        <v>487738.26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 s="5">
        <f t="shared" si="29"/>
        <v>0</v>
      </c>
      <c r="N297" s="5">
        <f t="shared" si="24"/>
        <v>0</v>
      </c>
      <c r="O297">
        <f t="shared" si="25"/>
        <v>1</v>
      </c>
      <c r="P297">
        <f t="shared" si="26"/>
        <v>0</v>
      </c>
      <c r="Q297">
        <f t="shared" si="27"/>
        <v>1</v>
      </c>
      <c r="R297">
        <f t="shared" si="28"/>
        <v>0</v>
      </c>
    </row>
    <row r="298" spans="2:18">
      <c r="B298">
        <v>668459.37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 s="5">
        <f t="shared" si="29"/>
        <v>0</v>
      </c>
      <c r="N298" s="5">
        <f t="shared" si="24"/>
        <v>0</v>
      </c>
      <c r="O298">
        <f t="shared" si="25"/>
        <v>1</v>
      </c>
      <c r="P298">
        <f t="shared" si="26"/>
        <v>0</v>
      </c>
      <c r="Q298">
        <f t="shared" si="27"/>
        <v>1</v>
      </c>
      <c r="R298">
        <f t="shared" si="28"/>
        <v>0</v>
      </c>
    </row>
    <row r="299" spans="2:18">
      <c r="B299">
        <v>763162.45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 s="5">
        <f t="shared" si="29"/>
        <v>0</v>
      </c>
      <c r="N299" s="5">
        <f t="shared" si="24"/>
        <v>0</v>
      </c>
      <c r="O299">
        <f t="shared" si="25"/>
        <v>1</v>
      </c>
      <c r="P299">
        <f t="shared" si="26"/>
        <v>0</v>
      </c>
      <c r="Q299">
        <f t="shared" si="27"/>
        <v>1</v>
      </c>
      <c r="R299">
        <f t="shared" si="28"/>
        <v>0</v>
      </c>
    </row>
    <row r="300" spans="2:18">
      <c r="B300">
        <v>599017.32999999996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 s="5">
        <f t="shared" si="29"/>
        <v>0</v>
      </c>
      <c r="N300" s="5">
        <f t="shared" si="24"/>
        <v>0</v>
      </c>
      <c r="O300">
        <f t="shared" si="25"/>
        <v>1</v>
      </c>
      <c r="P300">
        <f t="shared" si="26"/>
        <v>0</v>
      </c>
      <c r="Q300">
        <f t="shared" si="27"/>
        <v>1</v>
      </c>
      <c r="R300">
        <f t="shared" si="28"/>
        <v>0</v>
      </c>
    </row>
    <row r="301" spans="2:18">
      <c r="B301">
        <v>401582.58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 s="5">
        <f t="shared" si="29"/>
        <v>0</v>
      </c>
      <c r="N301" s="5">
        <f t="shared" si="24"/>
        <v>0</v>
      </c>
      <c r="O301">
        <f t="shared" si="25"/>
        <v>1</v>
      </c>
      <c r="P301">
        <f t="shared" si="26"/>
        <v>0</v>
      </c>
      <c r="Q301">
        <f t="shared" si="27"/>
        <v>1</v>
      </c>
      <c r="R301">
        <f t="shared" si="28"/>
        <v>0</v>
      </c>
    </row>
    <row r="302" spans="2:18">
      <c r="B302">
        <v>703812.99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 s="5">
        <f t="shared" si="29"/>
        <v>1</v>
      </c>
      <c r="N302" s="5">
        <f t="shared" si="24"/>
        <v>0</v>
      </c>
      <c r="O302">
        <f t="shared" si="25"/>
        <v>0</v>
      </c>
      <c r="P302">
        <f t="shared" si="26"/>
        <v>0</v>
      </c>
      <c r="Q302">
        <f t="shared" si="27"/>
        <v>0</v>
      </c>
      <c r="R302">
        <f t="shared" si="28"/>
        <v>1</v>
      </c>
    </row>
    <row r="303" spans="2:18">
      <c r="B303">
        <v>724346.73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 s="5">
        <f t="shared" si="29"/>
        <v>1</v>
      </c>
      <c r="N303" s="5">
        <f t="shared" si="24"/>
        <v>0</v>
      </c>
      <c r="O303">
        <f t="shared" si="25"/>
        <v>0</v>
      </c>
      <c r="P303">
        <f t="shared" si="26"/>
        <v>0</v>
      </c>
      <c r="Q303">
        <f t="shared" si="27"/>
        <v>0</v>
      </c>
      <c r="R303">
        <f t="shared" si="28"/>
        <v>1</v>
      </c>
    </row>
    <row r="304" spans="2:18">
      <c r="B304">
        <v>730890.01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 s="5">
        <f t="shared" si="29"/>
        <v>1</v>
      </c>
      <c r="N304" s="5">
        <f t="shared" si="24"/>
        <v>0</v>
      </c>
      <c r="O304">
        <f t="shared" si="25"/>
        <v>0</v>
      </c>
      <c r="P304">
        <f t="shared" si="26"/>
        <v>0</v>
      </c>
      <c r="Q304">
        <f t="shared" si="27"/>
        <v>0</v>
      </c>
      <c r="R304">
        <f t="shared" si="28"/>
        <v>1</v>
      </c>
    </row>
    <row r="305" spans="2:18">
      <c r="B305">
        <v>780580.95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 s="5">
        <f t="shared" si="29"/>
        <v>1</v>
      </c>
      <c r="N305" s="5">
        <f t="shared" si="24"/>
        <v>0</v>
      </c>
      <c r="O305">
        <f t="shared" si="25"/>
        <v>0</v>
      </c>
      <c r="P305">
        <f t="shared" si="26"/>
        <v>0</v>
      </c>
      <c r="Q305">
        <f t="shared" si="27"/>
        <v>0</v>
      </c>
      <c r="R305">
        <f t="shared" si="28"/>
        <v>1</v>
      </c>
    </row>
    <row r="306" spans="2:18">
      <c r="B306">
        <v>727957.48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 s="5">
        <f t="shared" si="29"/>
        <v>0</v>
      </c>
      <c r="N306" s="5">
        <f t="shared" si="24"/>
        <v>1</v>
      </c>
      <c r="O306">
        <f t="shared" si="25"/>
        <v>0</v>
      </c>
      <c r="P306">
        <f t="shared" si="26"/>
        <v>0</v>
      </c>
      <c r="Q306">
        <f t="shared" si="27"/>
        <v>0</v>
      </c>
      <c r="R306">
        <f t="shared" si="28"/>
        <v>0</v>
      </c>
    </row>
    <row r="307" spans="2:18">
      <c r="B307">
        <v>538376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 s="5">
        <f t="shared" si="29"/>
        <v>0</v>
      </c>
      <c r="N307" s="5">
        <f t="shared" si="24"/>
        <v>1</v>
      </c>
      <c r="O307">
        <f t="shared" si="25"/>
        <v>0</v>
      </c>
      <c r="P307">
        <f t="shared" si="26"/>
        <v>0</v>
      </c>
      <c r="Q307">
        <f t="shared" si="27"/>
        <v>0</v>
      </c>
      <c r="R307">
        <f t="shared" si="28"/>
        <v>0</v>
      </c>
    </row>
    <row r="308" spans="2:18">
      <c r="B308">
        <v>665342.49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 s="5">
        <f t="shared" si="29"/>
        <v>0</v>
      </c>
      <c r="N308" s="5">
        <f t="shared" si="24"/>
        <v>1</v>
      </c>
      <c r="O308">
        <f t="shared" si="25"/>
        <v>0</v>
      </c>
      <c r="P308">
        <f t="shared" si="26"/>
        <v>0</v>
      </c>
      <c r="Q308">
        <f t="shared" si="27"/>
        <v>0</v>
      </c>
      <c r="R308">
        <f t="shared" si="28"/>
        <v>0</v>
      </c>
    </row>
    <row r="309" spans="2:18">
      <c r="B309">
        <v>651164.18000000005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 s="5">
        <f t="shared" si="29"/>
        <v>0</v>
      </c>
      <c r="N309" s="5">
        <f t="shared" si="24"/>
        <v>1</v>
      </c>
      <c r="O309">
        <f t="shared" si="25"/>
        <v>0</v>
      </c>
      <c r="P309">
        <f t="shared" si="26"/>
        <v>0</v>
      </c>
      <c r="Q309">
        <f t="shared" si="27"/>
        <v>0</v>
      </c>
      <c r="R309">
        <f t="shared" si="28"/>
        <v>0</v>
      </c>
    </row>
    <row r="310" spans="2:18">
      <c r="B310">
        <v>628538.30000000005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 s="5">
        <f t="shared" si="29"/>
        <v>0</v>
      </c>
      <c r="N310" s="5">
        <f t="shared" si="24"/>
        <v>1</v>
      </c>
      <c r="O310">
        <f t="shared" si="25"/>
        <v>0</v>
      </c>
      <c r="P310">
        <f t="shared" si="26"/>
        <v>0</v>
      </c>
      <c r="Q310">
        <f t="shared" si="27"/>
        <v>1</v>
      </c>
      <c r="R310">
        <f t="shared" si="28"/>
        <v>0</v>
      </c>
    </row>
    <row r="311" spans="2:18">
      <c r="B311">
        <v>536524.84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 s="5">
        <f t="shared" si="29"/>
        <v>0</v>
      </c>
      <c r="N311" s="5">
        <f t="shared" si="24"/>
        <v>1</v>
      </c>
      <c r="O311">
        <f t="shared" si="25"/>
        <v>0</v>
      </c>
      <c r="P311">
        <f t="shared" si="26"/>
        <v>0</v>
      </c>
      <c r="Q311">
        <f t="shared" si="27"/>
        <v>1</v>
      </c>
      <c r="R311">
        <f t="shared" si="28"/>
        <v>0</v>
      </c>
    </row>
    <row r="312" spans="2:18">
      <c r="B312">
        <v>621677.30000000005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 s="5">
        <f t="shared" si="29"/>
        <v>0</v>
      </c>
      <c r="N312" s="5">
        <f t="shared" si="24"/>
        <v>1</v>
      </c>
      <c r="O312">
        <f t="shared" si="25"/>
        <v>0</v>
      </c>
      <c r="P312">
        <f t="shared" si="26"/>
        <v>0</v>
      </c>
      <c r="Q312">
        <f t="shared" si="27"/>
        <v>1</v>
      </c>
      <c r="R312">
        <f t="shared" si="28"/>
        <v>0</v>
      </c>
    </row>
    <row r="313" spans="2:18">
      <c r="B313">
        <v>771129.07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 s="7">
        <v>3.9</v>
      </c>
      <c r="M313" s="5">
        <f t="shared" si="29"/>
        <v>0</v>
      </c>
      <c r="N313" s="5">
        <f t="shared" si="24"/>
        <v>1</v>
      </c>
      <c r="O313">
        <f t="shared" si="25"/>
        <v>0</v>
      </c>
      <c r="P313">
        <f t="shared" si="26"/>
        <v>0</v>
      </c>
      <c r="Q313">
        <f t="shared" si="27"/>
        <v>1</v>
      </c>
      <c r="R313">
        <f t="shared" si="28"/>
        <v>0</v>
      </c>
    </row>
    <row r="314" spans="2:18">
      <c r="B314">
        <v>702052.47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 s="5">
        <f t="shared" si="29"/>
        <v>1</v>
      </c>
      <c r="N314" s="5">
        <f t="shared" si="24"/>
        <v>0</v>
      </c>
      <c r="O314">
        <f t="shared" si="25"/>
        <v>0</v>
      </c>
      <c r="P314">
        <f t="shared" si="26"/>
        <v>0</v>
      </c>
      <c r="Q314">
        <f t="shared" si="27"/>
        <v>0</v>
      </c>
      <c r="R314">
        <f t="shared" si="28"/>
        <v>0</v>
      </c>
    </row>
    <row r="315" spans="2:18">
      <c r="B315">
        <v>688368.46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 s="7">
        <v>3.9</v>
      </c>
      <c r="M315" s="5">
        <f t="shared" si="29"/>
        <v>1</v>
      </c>
      <c r="N315" s="5">
        <f t="shared" si="24"/>
        <v>0</v>
      </c>
      <c r="O315">
        <f t="shared" si="25"/>
        <v>0</v>
      </c>
      <c r="P315">
        <f t="shared" si="26"/>
        <v>0</v>
      </c>
      <c r="Q315">
        <f t="shared" si="27"/>
        <v>0</v>
      </c>
      <c r="R315">
        <f t="shared" si="28"/>
        <v>0</v>
      </c>
    </row>
    <row r="316" spans="2:18">
      <c r="B316">
        <v>712375.77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 s="5">
        <f t="shared" si="29"/>
        <v>1</v>
      </c>
      <c r="N316" s="5">
        <f t="shared" si="24"/>
        <v>0</v>
      </c>
      <c r="O316">
        <f t="shared" si="25"/>
        <v>0</v>
      </c>
      <c r="P316">
        <f t="shared" si="26"/>
        <v>0</v>
      </c>
      <c r="Q316">
        <f t="shared" si="27"/>
        <v>0</v>
      </c>
      <c r="R316">
        <f t="shared" si="28"/>
        <v>0</v>
      </c>
    </row>
    <row r="317" spans="2:18">
      <c r="B317">
        <v>844710.67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 s="5">
        <f>IF($C317="North",1,0)</f>
        <v>1</v>
      </c>
      <c r="N317" s="5">
        <f t="shared" si="24"/>
        <v>0</v>
      </c>
      <c r="O317">
        <f t="shared" si="25"/>
        <v>0</v>
      </c>
      <c r="P317">
        <f t="shared" si="26"/>
        <v>0</v>
      </c>
      <c r="Q317">
        <f t="shared" si="27"/>
        <v>0</v>
      </c>
      <c r="R317">
        <f t="shared" si="28"/>
        <v>0</v>
      </c>
    </row>
    <row r="318" spans="2:18">
      <c r="B318">
        <v>620264.19999999995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 s="5">
        <f t="shared" si="29"/>
        <v>0</v>
      </c>
      <c r="N318" s="5">
        <f t="shared" si="24"/>
        <v>0</v>
      </c>
      <c r="O318">
        <f t="shared" si="25"/>
        <v>0</v>
      </c>
      <c r="P318">
        <f t="shared" si="26"/>
        <v>0</v>
      </c>
      <c r="Q318">
        <f t="shared" si="27"/>
        <v>0</v>
      </c>
      <c r="R318">
        <f t="shared" si="28"/>
        <v>0</v>
      </c>
    </row>
    <row r="319" spans="2:18">
      <c r="B319">
        <v>536845.42000000004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 s="5">
        <f t="shared" si="29"/>
        <v>0</v>
      </c>
      <c r="N319" s="5">
        <f t="shared" si="24"/>
        <v>0</v>
      </c>
      <c r="O319">
        <f t="shared" si="25"/>
        <v>0</v>
      </c>
      <c r="P319">
        <f t="shared" si="26"/>
        <v>0</v>
      </c>
      <c r="Q319">
        <f t="shared" si="27"/>
        <v>0</v>
      </c>
      <c r="R319">
        <f t="shared" si="28"/>
        <v>0</v>
      </c>
    </row>
    <row r="320" spans="2:18">
      <c r="B320">
        <v>726776.22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 s="5">
        <f t="shared" si="29"/>
        <v>0</v>
      </c>
      <c r="N320" s="5">
        <f t="shared" si="24"/>
        <v>0</v>
      </c>
      <c r="O320">
        <f t="shared" si="25"/>
        <v>0</v>
      </c>
      <c r="P320">
        <f t="shared" si="26"/>
        <v>0</v>
      </c>
      <c r="Q320">
        <f t="shared" si="27"/>
        <v>0</v>
      </c>
      <c r="R320">
        <f t="shared" si="28"/>
        <v>0</v>
      </c>
    </row>
    <row r="321" spans="2:18">
      <c r="B321">
        <v>559660.84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 s="5">
        <f t="shared" si="29"/>
        <v>0</v>
      </c>
      <c r="N321" s="5">
        <f t="shared" si="24"/>
        <v>0</v>
      </c>
      <c r="O321">
        <f t="shared" si="25"/>
        <v>0</v>
      </c>
      <c r="P321">
        <f t="shared" si="26"/>
        <v>0</v>
      </c>
      <c r="Q321">
        <f t="shared" si="27"/>
        <v>0</v>
      </c>
      <c r="R321">
        <f t="shared" si="28"/>
        <v>0</v>
      </c>
    </row>
  </sheetData>
  <autoFilter ref="L1:L321" xr:uid="{2E530390-DC62-41C0-9AA0-6B3258A4678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3EE3-BCAA-4D2E-95A5-4EA96AE4CB01}">
  <dimension ref="A1:I357"/>
  <sheetViews>
    <sheetView topLeftCell="A27" zoomScale="60" workbookViewId="0">
      <selection activeCell="A37" sqref="A37:C43"/>
    </sheetView>
  </sheetViews>
  <sheetFormatPr defaultRowHeight="14.5"/>
  <cols>
    <col min="1" max="1" width="23.90625" customWidth="1"/>
    <col min="2" max="2" width="21.1796875" customWidth="1"/>
    <col min="3" max="3" width="11.81640625" customWidth="1"/>
    <col min="4" max="5" width="12.08984375" bestFit="1" customWidth="1"/>
    <col min="6" max="6" width="11.90625" customWidth="1"/>
    <col min="7" max="7" width="10.08984375" customWidth="1"/>
    <col min="8" max="8" width="11.08984375" customWidth="1"/>
    <col min="9" max="9" width="11" customWidth="1"/>
  </cols>
  <sheetData>
    <row r="1" spans="1:9">
      <c r="A1" t="s">
        <v>121</v>
      </c>
    </row>
    <row r="2" spans="1:9" ht="15" thickBot="1"/>
    <row r="3" spans="1:9">
      <c r="A3" s="12" t="s">
        <v>122</v>
      </c>
      <c r="B3" s="12"/>
    </row>
    <row r="4" spans="1:9">
      <c r="A4" t="s">
        <v>123</v>
      </c>
      <c r="B4">
        <v>0.9256441230526834</v>
      </c>
    </row>
    <row r="5" spans="1:9">
      <c r="A5" t="s">
        <v>124</v>
      </c>
      <c r="B5">
        <v>0.85681704254197122</v>
      </c>
    </row>
    <row r="6" spans="1:9">
      <c r="A6" t="s">
        <v>125</v>
      </c>
      <c r="B6">
        <v>0.8502447100684879</v>
      </c>
    </row>
    <row r="7" spans="1:9">
      <c r="A7" t="s">
        <v>126</v>
      </c>
      <c r="B7">
        <v>40157.78722918636</v>
      </c>
    </row>
    <row r="8" spans="1:9" ht="15" thickBot="1">
      <c r="A8" s="10" t="s">
        <v>127</v>
      </c>
      <c r="B8" s="10">
        <v>320</v>
      </c>
    </row>
    <row r="10" spans="1:9" ht="15" thickBot="1">
      <c r="A10" t="s">
        <v>128</v>
      </c>
    </row>
    <row r="11" spans="1:9">
      <c r="A11" s="11"/>
      <c r="B11" s="11" t="s">
        <v>133</v>
      </c>
      <c r="C11" s="11" t="s">
        <v>134</v>
      </c>
      <c r="D11" s="11" t="s">
        <v>135</v>
      </c>
      <c r="E11" s="11" t="s">
        <v>136</v>
      </c>
      <c r="F11" s="11" t="s">
        <v>137</v>
      </c>
    </row>
    <row r="12" spans="1:9">
      <c r="A12" t="s">
        <v>129</v>
      </c>
      <c r="B12">
        <v>14</v>
      </c>
      <c r="C12">
        <v>2943311014871.6353</v>
      </c>
      <c r="D12">
        <v>210236501062.25967</v>
      </c>
      <c r="E12">
        <v>130.36727006719192</v>
      </c>
      <c r="F12">
        <v>1.4957465345923105E-119</v>
      </c>
    </row>
    <row r="13" spans="1:9">
      <c r="A13" t="s">
        <v>130</v>
      </c>
      <c r="B13">
        <v>305</v>
      </c>
      <c r="C13">
        <v>491857601919.104</v>
      </c>
      <c r="D13">
        <v>1612647875.1446033</v>
      </c>
    </row>
    <row r="14" spans="1:9" ht="15" thickBot="1">
      <c r="A14" s="10" t="s">
        <v>131</v>
      </c>
      <c r="B14" s="10">
        <v>319</v>
      </c>
      <c r="C14" s="10">
        <v>3435168616790.7393</v>
      </c>
      <c r="D14" s="10"/>
      <c r="E14" s="10"/>
      <c r="F14" s="10"/>
    </row>
    <row r="15" spans="1:9" ht="15" thickBot="1"/>
    <row r="16" spans="1:9">
      <c r="A16" s="11"/>
      <c r="B16" s="11" t="s">
        <v>138</v>
      </c>
      <c r="C16" s="11" t="s">
        <v>126</v>
      </c>
      <c r="D16" s="11" t="s">
        <v>139</v>
      </c>
      <c r="E16" s="11" t="s">
        <v>140</v>
      </c>
      <c r="F16" s="11" t="s">
        <v>141</v>
      </c>
      <c r="G16" s="11" t="s">
        <v>142</v>
      </c>
      <c r="H16" s="11" t="s">
        <v>143</v>
      </c>
      <c r="I16" s="11" t="s">
        <v>144</v>
      </c>
    </row>
    <row r="17" spans="1:9">
      <c r="A17" t="s">
        <v>132</v>
      </c>
      <c r="B17">
        <v>42075.502753945824</v>
      </c>
      <c r="C17">
        <v>45306.374186809917</v>
      </c>
      <c r="D17">
        <v>0.92868836911242614</v>
      </c>
      <c r="E17">
        <v>0.35378498619928167</v>
      </c>
      <c r="F17">
        <v>-47077.127856063118</v>
      </c>
      <c r="G17">
        <v>131228.13336395478</v>
      </c>
      <c r="H17">
        <v>-47077.127856063118</v>
      </c>
      <c r="I17">
        <v>131228.13336395478</v>
      </c>
    </row>
    <row r="18" spans="1:9">
      <c r="A18" t="s">
        <v>4</v>
      </c>
      <c r="B18">
        <v>1.2076782298595048</v>
      </c>
      <c r="C18">
        <v>0.11699368185983414</v>
      </c>
      <c r="D18">
        <v>10.322593585065389</v>
      </c>
      <c r="E18">
        <v>1.2712257660940806E-21</v>
      </c>
      <c r="F18">
        <v>0.97746129703791351</v>
      </c>
      <c r="G18">
        <v>1.4378951626810961</v>
      </c>
      <c r="H18">
        <v>0.97746129703791351</v>
      </c>
      <c r="I18">
        <v>1.4378951626810961</v>
      </c>
    </row>
    <row r="19" spans="1:9">
      <c r="A19" t="s">
        <v>5</v>
      </c>
      <c r="B19">
        <v>27.378920662559562</v>
      </c>
      <c r="C19">
        <v>2.3075026673114216</v>
      </c>
      <c r="D19">
        <v>11.865174004093356</v>
      </c>
      <c r="E19">
        <v>5.9046740195221874E-27</v>
      </c>
      <c r="F19">
        <v>22.838280705758141</v>
      </c>
      <c r="G19">
        <v>31.919560619360983</v>
      </c>
      <c r="H19">
        <v>22.838280705758141</v>
      </c>
      <c r="I19">
        <v>31.919560619360983</v>
      </c>
    </row>
    <row r="20" spans="1:9">
      <c r="A20" t="s">
        <v>6</v>
      </c>
      <c r="B20">
        <v>-41697.724544134056</v>
      </c>
      <c r="C20">
        <v>33893.107438798499</v>
      </c>
      <c r="D20">
        <v>-1.2302715122662777</v>
      </c>
      <c r="E20">
        <v>0.21954347821137812</v>
      </c>
      <c r="F20">
        <v>-108391.64437222411</v>
      </c>
      <c r="G20">
        <v>24996.195283955989</v>
      </c>
      <c r="H20">
        <v>-108391.64437222411</v>
      </c>
      <c r="I20">
        <v>24996.195283955989</v>
      </c>
    </row>
    <row r="21" spans="1:9">
      <c r="A21" t="s">
        <v>7</v>
      </c>
      <c r="B21">
        <v>3481.7306004317957</v>
      </c>
      <c r="C21">
        <v>1162.3325382711937</v>
      </c>
      <c r="D21">
        <v>2.9954685821756146</v>
      </c>
      <c r="E21">
        <v>2.9649250277358906E-3</v>
      </c>
      <c r="F21">
        <v>1194.5247648199438</v>
      </c>
      <c r="G21">
        <v>5768.9364360436475</v>
      </c>
      <c r="H21">
        <v>1194.5247648199438</v>
      </c>
      <c r="I21">
        <v>5768.9364360436475</v>
      </c>
    </row>
    <row r="22" spans="1:9">
      <c r="A22" t="s">
        <v>8</v>
      </c>
      <c r="B22">
        <v>3060.2169128923451</v>
      </c>
      <c r="C22">
        <v>426.36303669780381</v>
      </c>
      <c r="D22">
        <v>7.1774911272652266</v>
      </c>
      <c r="E22">
        <v>5.4337184923410276E-12</v>
      </c>
      <c r="F22">
        <v>2221.231516273534</v>
      </c>
      <c r="G22">
        <v>3899.2023095111563</v>
      </c>
      <c r="H22">
        <v>2221.231516273534</v>
      </c>
      <c r="I22">
        <v>3899.2023095111563</v>
      </c>
    </row>
    <row r="23" spans="1:9">
      <c r="A23" t="s">
        <v>9</v>
      </c>
      <c r="B23">
        <v>-3423.809470510947</v>
      </c>
      <c r="C23">
        <v>540.7846423916144</v>
      </c>
      <c r="D23">
        <v>-6.3311884290374545</v>
      </c>
      <c r="E23">
        <v>8.6884198064933802E-10</v>
      </c>
      <c r="F23">
        <v>-4487.9505395780343</v>
      </c>
      <c r="G23">
        <v>-2359.6684014438597</v>
      </c>
      <c r="H23">
        <v>-4487.9505395780343</v>
      </c>
      <c r="I23">
        <v>-2359.6684014438597</v>
      </c>
    </row>
    <row r="24" spans="1:9">
      <c r="A24" t="s">
        <v>10</v>
      </c>
      <c r="B24">
        <v>15077.633163581395</v>
      </c>
      <c r="C24">
        <v>6131.339692182647</v>
      </c>
      <c r="D24">
        <v>2.4591090888024225</v>
      </c>
      <c r="E24">
        <v>1.4483308487022487E-2</v>
      </c>
      <c r="F24">
        <v>3012.5524209077757</v>
      </c>
      <c r="G24">
        <v>27142.713906255012</v>
      </c>
      <c r="H24">
        <v>3012.5524209077757</v>
      </c>
      <c r="I24">
        <v>27142.713906255012</v>
      </c>
    </row>
    <row r="25" spans="1:9">
      <c r="A25" t="s">
        <v>11</v>
      </c>
      <c r="B25">
        <v>12522.220238319369</v>
      </c>
      <c r="C25">
        <v>4451.4913276951947</v>
      </c>
      <c r="D25">
        <v>2.8130393426606712</v>
      </c>
      <c r="E25">
        <v>5.2260419629136618E-3</v>
      </c>
      <c r="F25">
        <v>3762.6986671315608</v>
      </c>
      <c r="G25">
        <v>21281.741809507177</v>
      </c>
      <c r="H25">
        <v>3762.6986671315608</v>
      </c>
      <c r="I25">
        <v>21281.741809507177</v>
      </c>
    </row>
    <row r="26" spans="1:9">
      <c r="A26" t="s">
        <v>149</v>
      </c>
      <c r="B26">
        <v>9933.270461246022</v>
      </c>
      <c r="C26">
        <v>6571.2685253180853</v>
      </c>
      <c r="D26">
        <v>1.5116214507099597</v>
      </c>
      <c r="E26">
        <v>0.13166557698436893</v>
      </c>
      <c r="F26">
        <v>-2997.4900772439305</v>
      </c>
      <c r="G26">
        <v>22864.030999735973</v>
      </c>
      <c r="H26">
        <v>-2997.4900772439305</v>
      </c>
      <c r="I26">
        <v>22864.030999735973</v>
      </c>
    </row>
    <row r="27" spans="1:9">
      <c r="A27" t="s">
        <v>150</v>
      </c>
      <c r="B27">
        <v>21047.236941253599</v>
      </c>
      <c r="C27">
        <v>6633.8292439503548</v>
      </c>
      <c r="D27">
        <v>3.1727130993682704</v>
      </c>
      <c r="E27">
        <v>1.6641543261697422E-3</v>
      </c>
      <c r="F27">
        <v>7993.3711501578618</v>
      </c>
      <c r="G27">
        <v>34101.102732349333</v>
      </c>
      <c r="H27">
        <v>7993.3711501578618</v>
      </c>
      <c r="I27">
        <v>34101.102732349333</v>
      </c>
    </row>
    <row r="28" spans="1:9">
      <c r="A28" t="s">
        <v>151</v>
      </c>
      <c r="B28">
        <v>25258.366178477805</v>
      </c>
      <c r="C28">
        <v>5902.1592014550088</v>
      </c>
      <c r="D28">
        <v>4.2795128556090249</v>
      </c>
      <c r="E28">
        <v>2.5106476687522547E-5</v>
      </c>
      <c r="F28">
        <v>13644.260469661785</v>
      </c>
      <c r="G28">
        <v>36872.471887293825</v>
      </c>
      <c r="H28">
        <v>13644.260469661785</v>
      </c>
      <c r="I28">
        <v>36872.471887293825</v>
      </c>
    </row>
    <row r="29" spans="1:9">
      <c r="A29" t="s">
        <v>152</v>
      </c>
      <c r="B29">
        <v>44678.631811334541</v>
      </c>
      <c r="C29">
        <v>8753.9673739050322</v>
      </c>
      <c r="D29">
        <v>5.1038152077786396</v>
      </c>
      <c r="E29">
        <v>5.8670997852958513E-7</v>
      </c>
      <c r="F29">
        <v>27452.816820272303</v>
      </c>
      <c r="G29">
        <v>61904.446802396778</v>
      </c>
      <c r="H29">
        <v>27452.816820272303</v>
      </c>
      <c r="I29">
        <v>61904.446802396778</v>
      </c>
    </row>
    <row r="30" spans="1:9">
      <c r="A30" t="s">
        <v>153</v>
      </c>
      <c r="B30">
        <v>20381.724078632902</v>
      </c>
      <c r="C30">
        <v>5569.0091780749481</v>
      </c>
      <c r="D30">
        <v>3.6598474570441089</v>
      </c>
      <c r="E30">
        <v>2.9730344637449868E-4</v>
      </c>
      <c r="F30">
        <v>9423.1817757441077</v>
      </c>
      <c r="G30">
        <v>31340.266381521695</v>
      </c>
      <c r="H30">
        <v>9423.1817757441077</v>
      </c>
      <c r="I30">
        <v>31340.266381521695</v>
      </c>
    </row>
    <row r="31" spans="1:9" ht="15" thickBot="1">
      <c r="A31" s="10" t="s">
        <v>154</v>
      </c>
      <c r="B31" s="10">
        <v>32866.449555306208</v>
      </c>
      <c r="C31" s="10">
        <v>6162.5166352429951</v>
      </c>
      <c r="D31" s="10">
        <v>5.3332837054500297</v>
      </c>
      <c r="E31" s="10">
        <v>1.8821923385927511E-7</v>
      </c>
      <c r="F31" s="10">
        <v>20740.019685978845</v>
      </c>
      <c r="G31" s="10">
        <v>44992.879424633575</v>
      </c>
      <c r="H31" s="10">
        <v>20740.019685978845</v>
      </c>
      <c r="I31" s="10">
        <v>44992.879424633575</v>
      </c>
    </row>
    <row r="35" spans="1:3">
      <c r="A35" t="s">
        <v>145</v>
      </c>
    </row>
    <row r="36" spans="1:3" ht="15" thickBot="1"/>
    <row r="37" spans="1:3">
      <c r="A37" s="11" t="s">
        <v>146</v>
      </c>
      <c r="B37" s="11" t="s">
        <v>155</v>
      </c>
      <c r="C37" s="11" t="s">
        <v>148</v>
      </c>
    </row>
    <row r="38" spans="1:3">
      <c r="A38">
        <v>1</v>
      </c>
      <c r="B38">
        <v>677155.88400218752</v>
      </c>
      <c r="C38">
        <v>-18323.264002187527</v>
      </c>
    </row>
    <row r="39" spans="1:3">
      <c r="A39">
        <v>2</v>
      </c>
      <c r="B39">
        <v>679032.88241478871</v>
      </c>
      <c r="C39">
        <v>-44596.882414788706</v>
      </c>
    </row>
    <row r="40" spans="1:3">
      <c r="A40">
        <v>3</v>
      </c>
      <c r="B40">
        <v>696319.09381721797</v>
      </c>
      <c r="C40">
        <v>-17597.033817217918</v>
      </c>
    </row>
    <row r="41" spans="1:3">
      <c r="A41">
        <v>4</v>
      </c>
      <c r="B41">
        <v>734601.41019357741</v>
      </c>
      <c r="C41">
        <v>-75681.110193577362</v>
      </c>
    </row>
    <row r="42" spans="1:3">
      <c r="A42">
        <v>5</v>
      </c>
      <c r="B42">
        <v>788326.97531157755</v>
      </c>
      <c r="C42">
        <v>-46985.535311577609</v>
      </c>
    </row>
    <row r="43" spans="1:3">
      <c r="A43">
        <v>6</v>
      </c>
      <c r="B43">
        <v>774190.18997931294</v>
      </c>
      <c r="C43">
        <v>-12354.849979312974</v>
      </c>
    </row>
    <row r="44" spans="1:3">
      <c r="A44">
        <v>7</v>
      </c>
      <c r="B44">
        <v>806898.23211814323</v>
      </c>
      <c r="C44">
        <v>-282.69211814319715</v>
      </c>
    </row>
    <row r="45" spans="1:3">
      <c r="A45">
        <v>8</v>
      </c>
      <c r="B45">
        <v>792752.46516824281</v>
      </c>
      <c r="C45">
        <v>57411.794831757201</v>
      </c>
    </row>
    <row r="46" spans="1:3">
      <c r="A46">
        <v>9</v>
      </c>
      <c r="B46">
        <v>873032.74272345286</v>
      </c>
      <c r="C46">
        <v>57548.957276547095</v>
      </c>
    </row>
    <row r="47" spans="1:3">
      <c r="A47">
        <v>10</v>
      </c>
      <c r="B47">
        <v>808063.01750458917</v>
      </c>
      <c r="C47">
        <v>-29052.077504589222</v>
      </c>
    </row>
    <row r="48" spans="1:3">
      <c r="A48">
        <v>11</v>
      </c>
      <c r="B48">
        <v>753995.00136432762</v>
      </c>
      <c r="C48">
        <v>-30934.241364327609</v>
      </c>
    </row>
    <row r="49" spans="1:3">
      <c r="A49">
        <v>12</v>
      </c>
      <c r="B49">
        <v>867762.03034100612</v>
      </c>
      <c r="C49">
        <v>43029.909658993827</v>
      </c>
    </row>
    <row r="50" spans="1:3">
      <c r="A50">
        <v>13</v>
      </c>
      <c r="B50">
        <v>881375.34986752772</v>
      </c>
      <c r="C50">
        <v>40793.250132472254</v>
      </c>
    </row>
    <row r="51" spans="1:3">
      <c r="A51">
        <v>14</v>
      </c>
      <c r="B51">
        <v>772133.55316383159</v>
      </c>
      <c r="C51">
        <v>-45527.27316383156</v>
      </c>
    </row>
    <row r="52" spans="1:3">
      <c r="A52">
        <v>15</v>
      </c>
      <c r="B52">
        <v>753203.51598240784</v>
      </c>
      <c r="C52">
        <v>-6702.4259824078763</v>
      </c>
    </row>
    <row r="53" spans="1:3">
      <c r="A53">
        <v>16</v>
      </c>
      <c r="B53">
        <v>808757.92702504958</v>
      </c>
      <c r="C53">
        <v>25259.092974950443</v>
      </c>
    </row>
    <row r="54" spans="1:3">
      <c r="A54">
        <v>17</v>
      </c>
      <c r="B54">
        <v>677829.23780232947</v>
      </c>
      <c r="C54">
        <v>-11676.717802329455</v>
      </c>
    </row>
    <row r="55" spans="1:3">
      <c r="A55">
        <v>18</v>
      </c>
      <c r="B55">
        <v>577033.54393840651</v>
      </c>
      <c r="C55">
        <v>-3878.3539384065662</v>
      </c>
    </row>
    <row r="56" spans="1:3">
      <c r="A56">
        <v>19</v>
      </c>
      <c r="B56">
        <v>698294.09732888651</v>
      </c>
      <c r="C56">
        <v>-31720.897328886553</v>
      </c>
    </row>
    <row r="57" spans="1:3">
      <c r="A57">
        <v>20</v>
      </c>
      <c r="B57">
        <v>614083.28413826472</v>
      </c>
      <c r="C57">
        <v>-22463.334138264763</v>
      </c>
    </row>
    <row r="58" spans="1:3">
      <c r="A58">
        <v>21</v>
      </c>
      <c r="B58">
        <v>485958.12643946218</v>
      </c>
      <c r="C58">
        <v>-70236.306439462176</v>
      </c>
    </row>
    <row r="59" spans="1:3">
      <c r="A59">
        <v>22</v>
      </c>
      <c r="B59">
        <v>503830.06697790779</v>
      </c>
      <c r="C59">
        <v>-11924.936977907782</v>
      </c>
    </row>
    <row r="60" spans="1:3">
      <c r="A60">
        <v>23</v>
      </c>
      <c r="B60">
        <v>551853.00665451097</v>
      </c>
      <c r="C60">
        <v>4076.3933454890503</v>
      </c>
    </row>
    <row r="61" spans="1:3">
      <c r="A61">
        <v>24</v>
      </c>
      <c r="B61">
        <v>566666.48997502238</v>
      </c>
      <c r="C61">
        <v>-855.49997502239421</v>
      </c>
    </row>
    <row r="62" spans="1:3">
      <c r="A62">
        <v>25</v>
      </c>
      <c r="B62">
        <v>855334.15046615503</v>
      </c>
      <c r="C62">
        <v>-43563.010466155014</v>
      </c>
    </row>
    <row r="63" spans="1:3">
      <c r="A63">
        <v>26</v>
      </c>
      <c r="B63">
        <v>912118.54315799451</v>
      </c>
      <c r="C63">
        <v>-111666.60315799457</v>
      </c>
    </row>
    <row r="64" spans="1:3">
      <c r="A64">
        <v>27</v>
      </c>
      <c r="B64">
        <v>809426.05304221914</v>
      </c>
      <c r="C64">
        <v>-25753.233042219188</v>
      </c>
    </row>
    <row r="65" spans="1:3">
      <c r="A65">
        <v>28</v>
      </c>
      <c r="B65">
        <v>660949.66429935407</v>
      </c>
      <c r="C65">
        <v>40692.305700645898</v>
      </c>
    </row>
    <row r="66" spans="1:3">
      <c r="A66">
        <v>29</v>
      </c>
      <c r="B66">
        <v>570793.63435432885</v>
      </c>
      <c r="C66">
        <v>-58949.224354328879</v>
      </c>
    </row>
    <row r="67" spans="1:3">
      <c r="A67">
        <v>30</v>
      </c>
      <c r="B67">
        <v>511663.63317554008</v>
      </c>
      <c r="C67">
        <v>25720.156824459962</v>
      </c>
    </row>
    <row r="68" spans="1:3">
      <c r="A68">
        <v>31</v>
      </c>
      <c r="B68">
        <v>515845.53149741289</v>
      </c>
      <c r="C68">
        <v>-15672.511497412866</v>
      </c>
    </row>
    <row r="69" spans="1:3">
      <c r="A69">
        <v>32</v>
      </c>
      <c r="B69">
        <v>441973.76423955086</v>
      </c>
      <c r="C69">
        <v>-14056.384239550855</v>
      </c>
    </row>
    <row r="70" spans="1:3">
      <c r="A70">
        <v>33</v>
      </c>
      <c r="B70">
        <v>708794.98217099719</v>
      </c>
      <c r="C70">
        <v>-66929.95217099716</v>
      </c>
    </row>
    <row r="71" spans="1:3">
      <c r="A71">
        <v>34</v>
      </c>
      <c r="B71">
        <v>851336.67391839647</v>
      </c>
      <c r="C71">
        <v>-51858.913918396458</v>
      </c>
    </row>
    <row r="72" spans="1:3">
      <c r="A72">
        <v>35</v>
      </c>
      <c r="B72">
        <v>797449.08241782442</v>
      </c>
      <c r="C72">
        <v>1503.0875821756199</v>
      </c>
    </row>
    <row r="73" spans="1:3">
      <c r="A73">
        <v>36</v>
      </c>
      <c r="B73">
        <v>804765.29387464188</v>
      </c>
      <c r="C73">
        <v>-3785.5138746418525</v>
      </c>
    </row>
    <row r="74" spans="1:3">
      <c r="A74">
        <v>37</v>
      </c>
      <c r="B74">
        <v>776275.42398835381</v>
      </c>
      <c r="C74">
        <v>44318.506011646241</v>
      </c>
    </row>
    <row r="75" spans="1:3">
      <c r="A75">
        <v>38</v>
      </c>
      <c r="B75">
        <v>742683.59681466105</v>
      </c>
      <c r="C75">
        <v>-24353.066814661026</v>
      </c>
    </row>
    <row r="76" spans="1:3">
      <c r="A76">
        <v>39</v>
      </c>
      <c r="B76">
        <v>749076.49275406182</v>
      </c>
      <c r="C76">
        <v>-12443.092754061799</v>
      </c>
    </row>
    <row r="77" spans="1:3">
      <c r="A77">
        <v>40</v>
      </c>
      <c r="B77">
        <v>851545.70666652266</v>
      </c>
      <c r="C77">
        <v>-22921.856666522683</v>
      </c>
    </row>
    <row r="78" spans="1:3">
      <c r="A78">
        <v>41</v>
      </c>
      <c r="B78">
        <v>580583.74674767046</v>
      </c>
      <c r="C78">
        <v>11612.103252329514</v>
      </c>
    </row>
    <row r="79" spans="1:3">
      <c r="A79">
        <v>42</v>
      </c>
      <c r="B79">
        <v>530059.95267643721</v>
      </c>
      <c r="C79">
        <v>2584.5073235627497</v>
      </c>
    </row>
    <row r="80" spans="1:3">
      <c r="A80">
        <v>43</v>
      </c>
      <c r="B80">
        <v>623389.93049076793</v>
      </c>
      <c r="C80">
        <v>34039.249509232119</v>
      </c>
    </row>
    <row r="81" spans="1:3">
      <c r="A81">
        <v>44</v>
      </c>
      <c r="B81">
        <v>603287.72153244505</v>
      </c>
      <c r="C81">
        <v>1890.2784675549483</v>
      </c>
    </row>
    <row r="82" spans="1:3">
      <c r="A82">
        <v>45</v>
      </c>
      <c r="B82">
        <v>709760.89075125579</v>
      </c>
      <c r="C82">
        <v>-114293.29075125582</v>
      </c>
    </row>
    <row r="83" spans="1:3">
      <c r="A83">
        <v>46</v>
      </c>
      <c r="B83">
        <v>631899.66777208389</v>
      </c>
      <c r="C83">
        <v>-32296.267772083869</v>
      </c>
    </row>
    <row r="84" spans="1:3">
      <c r="A84">
        <v>47</v>
      </c>
      <c r="B84">
        <v>589585.2732495094</v>
      </c>
      <c r="C84">
        <v>25214.816750490572</v>
      </c>
    </row>
    <row r="85" spans="1:3">
      <c r="A85">
        <v>48</v>
      </c>
      <c r="B85">
        <v>553091.10941827134</v>
      </c>
      <c r="C85">
        <v>32274.620581728639</v>
      </c>
    </row>
    <row r="86" spans="1:3">
      <c r="A86">
        <v>49</v>
      </c>
      <c r="B86">
        <v>674420.14749054669</v>
      </c>
      <c r="C86">
        <v>-51608.407490546699</v>
      </c>
    </row>
    <row r="87" spans="1:3">
      <c r="A87">
        <v>50</v>
      </c>
      <c r="B87">
        <v>580449.51185736409</v>
      </c>
      <c r="C87">
        <v>22848.058142635855</v>
      </c>
    </row>
    <row r="88" spans="1:3">
      <c r="A88">
        <v>51</v>
      </c>
      <c r="B88">
        <v>602695.27559043025</v>
      </c>
      <c r="C88">
        <v>22977.584409569739</v>
      </c>
    </row>
    <row r="89" spans="1:3">
      <c r="A89">
        <v>52</v>
      </c>
      <c r="B89">
        <v>744476.81293097616</v>
      </c>
      <c r="C89">
        <v>29338.327069023857</v>
      </c>
    </row>
    <row r="90" spans="1:3">
      <c r="A90">
        <v>53</v>
      </c>
      <c r="B90">
        <v>500645.22426574241</v>
      </c>
      <c r="C90">
        <v>-37110.974265742407</v>
      </c>
    </row>
    <row r="91" spans="1:3">
      <c r="A91">
        <v>54</v>
      </c>
      <c r="B91">
        <v>716466.92389869143</v>
      </c>
      <c r="C91">
        <v>30210.826101308572</v>
      </c>
    </row>
    <row r="92" spans="1:3">
      <c r="A92">
        <v>55</v>
      </c>
      <c r="B92">
        <v>698238.75739385979</v>
      </c>
      <c r="C92">
        <v>22613.742606140207</v>
      </c>
    </row>
    <row r="93" spans="1:3">
      <c r="A93">
        <v>56</v>
      </c>
      <c r="B93">
        <v>564621.24638017383</v>
      </c>
      <c r="C93">
        <v>-77156.33638017386</v>
      </c>
    </row>
    <row r="94" spans="1:3">
      <c r="A94">
        <v>57</v>
      </c>
      <c r="B94">
        <v>550280.30877016159</v>
      </c>
      <c r="C94">
        <v>-32231.048770161578</v>
      </c>
    </row>
    <row r="95" spans="1:3">
      <c r="A95">
        <v>58</v>
      </c>
      <c r="B95">
        <v>528922.65631286707</v>
      </c>
      <c r="C95">
        <v>-28624.176312867086</v>
      </c>
    </row>
    <row r="96" spans="1:3">
      <c r="A96">
        <v>59</v>
      </c>
      <c r="B96">
        <v>677743.21376805333</v>
      </c>
      <c r="C96">
        <v>-60452.063768053311</v>
      </c>
    </row>
    <row r="97" spans="1:3">
      <c r="A97">
        <v>60</v>
      </c>
      <c r="B97">
        <v>578873.36111900455</v>
      </c>
      <c r="C97">
        <v>-25116.931119004497</v>
      </c>
    </row>
    <row r="98" spans="1:3">
      <c r="A98">
        <v>61</v>
      </c>
      <c r="B98">
        <v>707760.85027766577</v>
      </c>
      <c r="C98">
        <v>41798.859722334193</v>
      </c>
    </row>
    <row r="99" spans="1:3">
      <c r="A99">
        <v>62</v>
      </c>
      <c r="B99">
        <v>581450.02425415895</v>
      </c>
      <c r="C99">
        <v>34516.455745841027</v>
      </c>
    </row>
    <row r="100" spans="1:3">
      <c r="A100">
        <v>63</v>
      </c>
      <c r="B100">
        <v>571330.46902332711</v>
      </c>
      <c r="C100">
        <v>680.7309766728431</v>
      </c>
    </row>
    <row r="101" spans="1:3">
      <c r="A101">
        <v>64</v>
      </c>
      <c r="B101">
        <v>731024.64637793449</v>
      </c>
      <c r="C101">
        <v>30835.543622065452</v>
      </c>
    </row>
    <row r="102" spans="1:3">
      <c r="A102">
        <v>65</v>
      </c>
      <c r="B102">
        <v>826984.54378258297</v>
      </c>
      <c r="C102">
        <v>-42481.863782582921</v>
      </c>
    </row>
    <row r="103" spans="1:3">
      <c r="A103">
        <v>66</v>
      </c>
      <c r="B103">
        <v>716286.15775703033</v>
      </c>
      <c r="C103">
        <v>855.39224296971224</v>
      </c>
    </row>
    <row r="104" spans="1:3">
      <c r="A104">
        <v>67</v>
      </c>
      <c r="B104">
        <v>805549.43711770175</v>
      </c>
      <c r="C104">
        <v>-120170.35711770179</v>
      </c>
    </row>
    <row r="105" spans="1:3">
      <c r="A105">
        <v>68</v>
      </c>
      <c r="B105">
        <v>740857.13576745393</v>
      </c>
      <c r="C105">
        <v>-360.48576745390892</v>
      </c>
    </row>
    <row r="106" spans="1:3">
      <c r="A106">
        <v>69</v>
      </c>
      <c r="B106">
        <v>597738.32719744497</v>
      </c>
      <c r="C106">
        <v>64188.81280255504</v>
      </c>
    </row>
    <row r="107" spans="1:3">
      <c r="A107">
        <v>70</v>
      </c>
      <c r="B107">
        <v>498514.25553287129</v>
      </c>
      <c r="C107">
        <v>-19463.755532871292</v>
      </c>
    </row>
    <row r="108" spans="1:3">
      <c r="A108">
        <v>71</v>
      </c>
      <c r="B108">
        <v>577323.58292906149</v>
      </c>
      <c r="C108">
        <v>27700.287070938502</v>
      </c>
    </row>
    <row r="109" spans="1:3">
      <c r="A109">
        <v>72</v>
      </c>
      <c r="B109">
        <v>616807.90920001257</v>
      </c>
      <c r="C109">
        <v>57966.1807999874</v>
      </c>
    </row>
    <row r="110" spans="1:3">
      <c r="A110">
        <v>73</v>
      </c>
      <c r="B110">
        <v>574296.86007973156</v>
      </c>
      <c r="C110">
        <v>41772.549920268473</v>
      </c>
    </row>
    <row r="111" spans="1:3">
      <c r="A111">
        <v>74</v>
      </c>
      <c r="B111">
        <v>677681.16866976325</v>
      </c>
      <c r="C111">
        <v>-46851.22866976331</v>
      </c>
    </row>
    <row r="112" spans="1:3">
      <c r="A112">
        <v>75</v>
      </c>
      <c r="B112">
        <v>728211.88569427957</v>
      </c>
      <c r="C112">
        <v>59875.794305720483</v>
      </c>
    </row>
    <row r="113" spans="1:3">
      <c r="A113">
        <v>76</v>
      </c>
      <c r="B113">
        <v>704847.49901318527</v>
      </c>
      <c r="C113">
        <v>-24007.139013185282</v>
      </c>
    </row>
    <row r="114" spans="1:3">
      <c r="A114">
        <v>77</v>
      </c>
      <c r="B114">
        <v>649944.83379143092</v>
      </c>
      <c r="C114">
        <v>-6287.3637914309511</v>
      </c>
    </row>
    <row r="115" spans="1:3">
      <c r="A115">
        <v>78</v>
      </c>
      <c r="B115">
        <v>640941.94634158292</v>
      </c>
      <c r="C115">
        <v>50170.653658417054</v>
      </c>
    </row>
    <row r="116" spans="1:3">
      <c r="A116">
        <v>79</v>
      </c>
      <c r="B116">
        <v>722865.54920727212</v>
      </c>
      <c r="C116">
        <v>54056.620792727917</v>
      </c>
    </row>
    <row r="117" spans="1:3">
      <c r="A117">
        <v>80</v>
      </c>
      <c r="B117">
        <v>660185.15394035343</v>
      </c>
      <c r="C117">
        <v>-23623.813940353459</v>
      </c>
    </row>
    <row r="118" spans="1:3">
      <c r="A118">
        <v>81</v>
      </c>
      <c r="B118">
        <v>663020.66643657233</v>
      </c>
      <c r="C118">
        <v>-41651.086436572368</v>
      </c>
    </row>
    <row r="119" spans="1:3">
      <c r="A119">
        <v>82</v>
      </c>
      <c r="B119">
        <v>647083.66363696044</v>
      </c>
      <c r="C119">
        <v>35124.346363039571</v>
      </c>
    </row>
    <row r="120" spans="1:3">
      <c r="A120">
        <v>83</v>
      </c>
      <c r="B120">
        <v>678946.96361792309</v>
      </c>
      <c r="C120">
        <v>48294.896382076899</v>
      </c>
    </row>
    <row r="121" spans="1:3">
      <c r="A121">
        <v>84</v>
      </c>
      <c r="B121">
        <v>571895.61864389922</v>
      </c>
      <c r="C121">
        <v>-2794.8386438991874</v>
      </c>
    </row>
    <row r="122" spans="1:3">
      <c r="A122">
        <v>85</v>
      </c>
      <c r="B122">
        <v>556674.25338656863</v>
      </c>
      <c r="C122">
        <v>17762.03661343141</v>
      </c>
    </row>
    <row r="123" spans="1:3">
      <c r="A123">
        <v>86</v>
      </c>
      <c r="B123">
        <v>643560.63916301634</v>
      </c>
      <c r="C123">
        <v>-31793.91916301637</v>
      </c>
    </row>
    <row r="124" spans="1:3">
      <c r="A124">
        <v>87</v>
      </c>
      <c r="B124">
        <v>593316.24885292712</v>
      </c>
      <c r="C124">
        <v>21280.071147072827</v>
      </c>
    </row>
    <row r="125" spans="1:3">
      <c r="A125">
        <v>88</v>
      </c>
      <c r="B125">
        <v>477692.2160545786</v>
      </c>
      <c r="C125">
        <v>-26980.296054578619</v>
      </c>
    </row>
    <row r="126" spans="1:3">
      <c r="A126">
        <v>89</v>
      </c>
      <c r="B126">
        <v>696926.59617735236</v>
      </c>
      <c r="C126">
        <v>14286.863822647603</v>
      </c>
    </row>
    <row r="127" spans="1:3">
      <c r="A127">
        <v>90</v>
      </c>
      <c r="B127">
        <v>764012.61864513066</v>
      </c>
      <c r="C127">
        <v>-136840.71864513063</v>
      </c>
    </row>
    <row r="128" spans="1:3">
      <c r="A128">
        <v>91</v>
      </c>
      <c r="B128">
        <v>736721.05565367476</v>
      </c>
      <c r="C128">
        <v>3131.5243463251973</v>
      </c>
    </row>
    <row r="129" spans="1:3">
      <c r="A129">
        <v>92</v>
      </c>
      <c r="B129">
        <v>583429.30192859971</v>
      </c>
      <c r="C129">
        <v>2877.9180714002578</v>
      </c>
    </row>
    <row r="130" spans="1:3">
      <c r="A130">
        <v>93</v>
      </c>
      <c r="B130">
        <v>604889.84468611854</v>
      </c>
      <c r="C130">
        <v>-18952.364686118555</v>
      </c>
    </row>
    <row r="131" spans="1:3">
      <c r="A131">
        <v>94</v>
      </c>
      <c r="B131">
        <v>710728.4630404081</v>
      </c>
      <c r="C131">
        <v>42745.08695959195</v>
      </c>
    </row>
    <row r="132" spans="1:3">
      <c r="A132">
        <v>95</v>
      </c>
      <c r="B132">
        <v>785329.03375043184</v>
      </c>
      <c r="C132">
        <v>52921.286249568104</v>
      </c>
    </row>
    <row r="133" spans="1:3">
      <c r="A133">
        <v>96</v>
      </c>
      <c r="B133">
        <v>618315.65375143616</v>
      </c>
      <c r="C133">
        <v>-10417.53375143616</v>
      </c>
    </row>
    <row r="134" spans="1:3">
      <c r="A134">
        <v>97</v>
      </c>
      <c r="B134">
        <v>674916.00209668733</v>
      </c>
      <c r="C134">
        <v>16197.617903312668</v>
      </c>
    </row>
    <row r="135" spans="1:3">
      <c r="A135">
        <v>98</v>
      </c>
      <c r="B135">
        <v>665040.48222604976</v>
      </c>
      <c r="C135">
        <v>70468.917773950263</v>
      </c>
    </row>
    <row r="136" spans="1:3">
      <c r="A136">
        <v>99</v>
      </c>
      <c r="B136">
        <v>637706.81576834316</v>
      </c>
      <c r="C136">
        <v>-31931.485768343206</v>
      </c>
    </row>
    <row r="137" spans="1:3">
      <c r="A137">
        <v>100</v>
      </c>
      <c r="B137">
        <v>666084.18663535593</v>
      </c>
      <c r="C137">
        <v>9093.4933646441204</v>
      </c>
    </row>
    <row r="138" spans="1:3">
      <c r="A138">
        <v>101</v>
      </c>
      <c r="B138">
        <v>608408.23186803539</v>
      </c>
      <c r="C138">
        <v>26773.118131964584</v>
      </c>
    </row>
    <row r="139" spans="1:3">
      <c r="A139">
        <v>102</v>
      </c>
      <c r="B139">
        <v>620959.57445170311</v>
      </c>
      <c r="C139">
        <v>-34332.634451703168</v>
      </c>
    </row>
    <row r="140" spans="1:3">
      <c r="A140">
        <v>103</v>
      </c>
      <c r="B140">
        <v>725704.38677892182</v>
      </c>
      <c r="C140">
        <v>14398.253221078194</v>
      </c>
    </row>
    <row r="141" spans="1:3">
      <c r="A141">
        <v>104</v>
      </c>
      <c r="B141">
        <v>540428.52255950216</v>
      </c>
      <c r="C141">
        <v>85085.517440497875</v>
      </c>
    </row>
    <row r="142" spans="1:3">
      <c r="A142">
        <v>105</v>
      </c>
      <c r="B142">
        <v>706720.78833230119</v>
      </c>
      <c r="C142">
        <v>20506.411667698761</v>
      </c>
    </row>
    <row r="143" spans="1:3">
      <c r="A143">
        <v>106</v>
      </c>
      <c r="B143">
        <v>796755.06844774855</v>
      </c>
      <c r="C143">
        <v>-12957.178447748534</v>
      </c>
    </row>
    <row r="144" spans="1:3">
      <c r="A144">
        <v>107</v>
      </c>
      <c r="B144">
        <v>724671.2990524281</v>
      </c>
      <c r="C144">
        <v>70482.540947571862</v>
      </c>
    </row>
    <row r="145" spans="1:3">
      <c r="A145">
        <v>108</v>
      </c>
      <c r="B145">
        <v>630556.3369985841</v>
      </c>
      <c r="C145">
        <v>35038.603001415846</v>
      </c>
    </row>
    <row r="146" spans="1:3">
      <c r="A146">
        <v>109</v>
      </c>
      <c r="B146">
        <v>686658.80741265754</v>
      </c>
      <c r="C146">
        <v>22819.582587342476</v>
      </c>
    </row>
    <row r="147" spans="1:3">
      <c r="A147">
        <v>110</v>
      </c>
      <c r="B147">
        <v>631636.03924804006</v>
      </c>
      <c r="C147">
        <v>32526.450751959928</v>
      </c>
    </row>
    <row r="148" spans="1:3">
      <c r="A148">
        <v>111</v>
      </c>
      <c r="B148">
        <v>657153.64572090178</v>
      </c>
      <c r="C148">
        <v>-23659.43572090182</v>
      </c>
    </row>
    <row r="149" spans="1:3">
      <c r="A149">
        <v>112</v>
      </c>
      <c r="B149">
        <v>610600.96102858323</v>
      </c>
      <c r="C149">
        <v>103010.1989714168</v>
      </c>
    </row>
    <row r="150" spans="1:3">
      <c r="A150">
        <v>113</v>
      </c>
      <c r="B150">
        <v>758271.43420581101</v>
      </c>
      <c r="C150">
        <v>20126.535794188967</v>
      </c>
    </row>
    <row r="151" spans="1:3">
      <c r="A151">
        <v>114</v>
      </c>
      <c r="B151">
        <v>850767.76778040535</v>
      </c>
      <c r="C151">
        <v>22612.252219594666</v>
      </c>
    </row>
    <row r="152" spans="1:3">
      <c r="A152">
        <v>115</v>
      </c>
      <c r="B152">
        <v>752155.64930002368</v>
      </c>
      <c r="C152">
        <v>-54867.749300023657</v>
      </c>
    </row>
    <row r="153" spans="1:3">
      <c r="A153">
        <v>116</v>
      </c>
      <c r="B153">
        <v>761683.7100361737</v>
      </c>
      <c r="C153">
        <v>-43608.920036173658</v>
      </c>
    </row>
    <row r="154" spans="1:3">
      <c r="A154">
        <v>117</v>
      </c>
      <c r="B154">
        <v>729375.37429993518</v>
      </c>
      <c r="C154">
        <v>-14432.94429993513</v>
      </c>
    </row>
    <row r="155" spans="1:3">
      <c r="A155">
        <v>118</v>
      </c>
      <c r="B155">
        <v>738254.18086436461</v>
      </c>
      <c r="C155">
        <v>82264.85913563543</v>
      </c>
    </row>
    <row r="156" spans="1:3">
      <c r="A156">
        <v>119</v>
      </c>
      <c r="B156">
        <v>711378.09346390131</v>
      </c>
      <c r="C156">
        <v>-27160.773463901365</v>
      </c>
    </row>
    <row r="157" spans="1:3">
      <c r="A157">
        <v>120</v>
      </c>
      <c r="B157">
        <v>729031.65194892418</v>
      </c>
      <c r="C157">
        <v>6448.5380510757677</v>
      </c>
    </row>
    <row r="158" spans="1:3">
      <c r="A158">
        <v>121</v>
      </c>
      <c r="B158">
        <v>558300.8456476744</v>
      </c>
      <c r="C158">
        <v>-48816.035647674405</v>
      </c>
    </row>
    <row r="159" spans="1:3">
      <c r="A159">
        <v>122</v>
      </c>
      <c r="B159">
        <v>634946.32091235009</v>
      </c>
      <c r="C159">
        <v>19370.769087649882</v>
      </c>
    </row>
    <row r="160" spans="1:3">
      <c r="A160">
        <v>123</v>
      </c>
      <c r="B160">
        <v>605943.71856746683</v>
      </c>
      <c r="C160">
        <v>-48456.45856746682</v>
      </c>
    </row>
    <row r="161" spans="1:3">
      <c r="A161">
        <v>124</v>
      </c>
      <c r="B161">
        <v>473732.8989509191</v>
      </c>
      <c r="C161">
        <v>-32457.478950919118</v>
      </c>
    </row>
    <row r="162" spans="1:3">
      <c r="A162">
        <v>125</v>
      </c>
      <c r="B162">
        <v>861149.83360221435</v>
      </c>
      <c r="C162">
        <v>53394.336397785693</v>
      </c>
    </row>
    <row r="163" spans="1:3">
      <c r="A163">
        <v>126</v>
      </c>
      <c r="B163">
        <v>881529.52794760303</v>
      </c>
      <c r="C163">
        <v>-39089.857947602984</v>
      </c>
    </row>
    <row r="164" spans="1:3">
      <c r="A164">
        <v>127</v>
      </c>
      <c r="B164">
        <v>802975.75101799401</v>
      </c>
      <c r="C164">
        <v>39182.168982006027</v>
      </c>
    </row>
    <row r="165" spans="1:3">
      <c r="A165">
        <v>128</v>
      </c>
      <c r="B165">
        <v>715013.50964467123</v>
      </c>
      <c r="C165">
        <v>-17858.20964467118</v>
      </c>
    </row>
    <row r="166" spans="1:3">
      <c r="A166">
        <v>129</v>
      </c>
      <c r="B166">
        <v>857887.94375470025</v>
      </c>
      <c r="C166">
        <v>-8869.6437547001988</v>
      </c>
    </row>
    <row r="167" spans="1:3">
      <c r="A167">
        <v>130</v>
      </c>
      <c r="B167">
        <v>811453.99133999005</v>
      </c>
      <c r="C167">
        <v>-9623.6413399900775</v>
      </c>
    </row>
    <row r="168" spans="1:3">
      <c r="A168">
        <v>131</v>
      </c>
      <c r="B168">
        <v>788181.85576509917</v>
      </c>
      <c r="C168">
        <v>-62946.575765099144</v>
      </c>
    </row>
    <row r="169" spans="1:3">
      <c r="A169">
        <v>132</v>
      </c>
      <c r="B169">
        <v>805742.41170773306</v>
      </c>
      <c r="C169">
        <v>5710.3082922669128</v>
      </c>
    </row>
    <row r="170" spans="1:3">
      <c r="A170">
        <v>133</v>
      </c>
      <c r="B170">
        <v>579800.21545442007</v>
      </c>
      <c r="C170">
        <v>-52500.08545442007</v>
      </c>
    </row>
    <row r="171" spans="1:3">
      <c r="A171">
        <v>134</v>
      </c>
      <c r="B171">
        <v>462742.06847182428</v>
      </c>
      <c r="C171">
        <v>-61910.418471824261</v>
      </c>
    </row>
    <row r="172" spans="1:3">
      <c r="A172">
        <v>135</v>
      </c>
      <c r="B172">
        <v>614335.50837048027</v>
      </c>
      <c r="C172">
        <v>-21088.258370480267</v>
      </c>
    </row>
    <row r="173" spans="1:3">
      <c r="A173">
        <v>136</v>
      </c>
      <c r="B173">
        <v>552834.08321696636</v>
      </c>
      <c r="C173">
        <v>-23758.133216966409</v>
      </c>
    </row>
    <row r="174" spans="1:3">
      <c r="A174">
        <v>137</v>
      </c>
      <c r="B174">
        <v>709051.84315979888</v>
      </c>
      <c r="C174">
        <v>-75413.813159798854</v>
      </c>
    </row>
    <row r="175" spans="1:3">
      <c r="A175">
        <v>138</v>
      </c>
      <c r="B175">
        <v>689480.26209158706</v>
      </c>
      <c r="C175">
        <v>53868.577908412903</v>
      </c>
    </row>
    <row r="176" spans="1:3">
      <c r="A176">
        <v>139</v>
      </c>
      <c r="B176">
        <v>712416.35983241012</v>
      </c>
      <c r="C176">
        <v>46411.280167589895</v>
      </c>
    </row>
    <row r="177" spans="1:3">
      <c r="A177">
        <v>140</v>
      </c>
      <c r="B177">
        <v>610730.34899463702</v>
      </c>
      <c r="C177">
        <v>35829.361005362938</v>
      </c>
    </row>
    <row r="178" spans="1:3">
      <c r="A178">
        <v>141</v>
      </c>
      <c r="B178">
        <v>685230.17426362634</v>
      </c>
      <c r="C178">
        <v>30660.355736373691</v>
      </c>
    </row>
    <row r="179" spans="1:3">
      <c r="A179">
        <v>142</v>
      </c>
      <c r="B179">
        <v>707972.29008445505</v>
      </c>
      <c r="C179">
        <v>7125.2799155449029</v>
      </c>
    </row>
    <row r="180" spans="1:3">
      <c r="A180">
        <v>143</v>
      </c>
      <c r="B180">
        <v>663145.77436812117</v>
      </c>
      <c r="C180">
        <v>19493.505631878856</v>
      </c>
    </row>
    <row r="181" spans="1:3">
      <c r="A181">
        <v>144</v>
      </c>
      <c r="B181">
        <v>676899.01004779816</v>
      </c>
      <c r="C181">
        <v>18199.499952201848</v>
      </c>
    </row>
    <row r="182" spans="1:3">
      <c r="A182">
        <v>145</v>
      </c>
      <c r="B182">
        <v>593327.93264127022</v>
      </c>
      <c r="C182">
        <v>-15595.362641270272</v>
      </c>
    </row>
    <row r="183" spans="1:3">
      <c r="A183">
        <v>146</v>
      </c>
      <c r="B183">
        <v>536176.97393890191</v>
      </c>
      <c r="C183">
        <v>881.35606109804939</v>
      </c>
    </row>
    <row r="184" spans="1:3">
      <c r="A184">
        <v>147</v>
      </c>
      <c r="B184">
        <v>587440.69935173797</v>
      </c>
      <c r="C184">
        <v>14128.170648262021</v>
      </c>
    </row>
    <row r="185" spans="1:3">
      <c r="A185">
        <v>148</v>
      </c>
      <c r="B185">
        <v>553169.41787000617</v>
      </c>
      <c r="C185">
        <v>17795.422129993793</v>
      </c>
    </row>
    <row r="186" spans="1:3">
      <c r="A186">
        <v>149</v>
      </c>
      <c r="B186">
        <v>610874.50614597474</v>
      </c>
      <c r="C186">
        <v>3150.403854025295</v>
      </c>
    </row>
    <row r="187" spans="1:3">
      <c r="A187">
        <v>150</v>
      </c>
      <c r="B187">
        <v>706735.66063259158</v>
      </c>
      <c r="C187">
        <v>6132.6893674083985</v>
      </c>
    </row>
    <row r="188" spans="1:3">
      <c r="A188">
        <v>151</v>
      </c>
      <c r="B188">
        <v>686580.02748412476</v>
      </c>
      <c r="C188">
        <v>10164.122515875264</v>
      </c>
    </row>
    <row r="189" spans="1:3">
      <c r="A189">
        <v>152</v>
      </c>
      <c r="B189">
        <v>716380.35869831685</v>
      </c>
      <c r="C189">
        <v>9467.6313016831409</v>
      </c>
    </row>
    <row r="190" spans="1:3">
      <c r="A190">
        <v>153</v>
      </c>
      <c r="B190">
        <v>805163.26521676139</v>
      </c>
      <c r="C190">
        <v>-20135.015216761385</v>
      </c>
    </row>
    <row r="191" spans="1:3">
      <c r="A191">
        <v>154</v>
      </c>
      <c r="B191">
        <v>692035.80621489952</v>
      </c>
      <c r="C191">
        <v>6456.8637851005187</v>
      </c>
    </row>
    <row r="192" spans="1:3">
      <c r="A192">
        <v>155</v>
      </c>
      <c r="B192">
        <v>718706.52391208301</v>
      </c>
      <c r="C192">
        <v>-32876.283912083018</v>
      </c>
    </row>
    <row r="193" spans="1:3">
      <c r="A193">
        <v>156</v>
      </c>
      <c r="B193">
        <v>712321.12127477443</v>
      </c>
      <c r="C193">
        <v>-10002.181274774484</v>
      </c>
    </row>
    <row r="194" spans="1:3">
      <c r="A194">
        <v>157</v>
      </c>
      <c r="B194">
        <v>728482.40897980344</v>
      </c>
      <c r="C194">
        <v>-28404.088979803491</v>
      </c>
    </row>
    <row r="195" spans="1:3">
      <c r="A195">
        <v>158</v>
      </c>
      <c r="B195">
        <v>607350.31297241955</v>
      </c>
      <c r="C195">
        <v>-5347.9929724195972</v>
      </c>
    </row>
    <row r="196" spans="1:3">
      <c r="A196">
        <v>159</v>
      </c>
      <c r="B196">
        <v>670718.96611660824</v>
      </c>
      <c r="C196">
        <v>53497.103883391712</v>
      </c>
    </row>
    <row r="197" spans="1:3">
      <c r="A197">
        <v>160</v>
      </c>
      <c r="B197">
        <v>560666.29747222515</v>
      </c>
      <c r="C197">
        <v>60306.732527774875</v>
      </c>
    </row>
    <row r="198" spans="1:3">
      <c r="A198">
        <v>161</v>
      </c>
      <c r="B198">
        <v>698023.20560234925</v>
      </c>
      <c r="C198">
        <v>-47543.145602349192</v>
      </c>
    </row>
    <row r="199" spans="1:3">
      <c r="A199">
        <v>162</v>
      </c>
      <c r="B199">
        <v>717798.56582773139</v>
      </c>
      <c r="C199">
        <v>60500.314172268612</v>
      </c>
    </row>
    <row r="200" spans="1:3">
      <c r="A200">
        <v>163</v>
      </c>
      <c r="B200">
        <v>682744.2561347147</v>
      </c>
      <c r="C200">
        <v>-5647.5461347147357</v>
      </c>
    </row>
    <row r="201" spans="1:3">
      <c r="A201">
        <v>164</v>
      </c>
      <c r="B201">
        <v>732112.60878423159</v>
      </c>
      <c r="C201">
        <v>-40103.968784231576</v>
      </c>
    </row>
    <row r="202" spans="1:3">
      <c r="A202">
        <v>165</v>
      </c>
      <c r="B202">
        <v>781001.50350485707</v>
      </c>
      <c r="C202">
        <v>44796.406495142961</v>
      </c>
    </row>
    <row r="203" spans="1:3">
      <c r="A203">
        <v>166</v>
      </c>
      <c r="B203">
        <v>723404.31431055826</v>
      </c>
      <c r="C203">
        <v>-17118.794310558238</v>
      </c>
    </row>
    <row r="204" spans="1:3">
      <c r="A204">
        <v>167</v>
      </c>
      <c r="B204">
        <v>677884.71742755908</v>
      </c>
      <c r="C204">
        <v>-12350.017427559127</v>
      </c>
    </row>
    <row r="205" spans="1:3">
      <c r="A205">
        <v>168</v>
      </c>
      <c r="B205">
        <v>810280.22151061404</v>
      </c>
      <c r="C205">
        <v>10449.068489386002</v>
      </c>
    </row>
    <row r="206" spans="1:3">
      <c r="A206">
        <v>169</v>
      </c>
      <c r="B206">
        <v>739980.36359227996</v>
      </c>
      <c r="C206">
        <v>-148.63359227997717</v>
      </c>
    </row>
    <row r="207" spans="1:3">
      <c r="A207">
        <v>170</v>
      </c>
      <c r="B207">
        <v>645310.063263327</v>
      </c>
      <c r="C207">
        <v>-51672.923263326986</v>
      </c>
    </row>
    <row r="208" spans="1:3">
      <c r="A208">
        <v>171</v>
      </c>
      <c r="B208">
        <v>709132.8107483947</v>
      </c>
      <c r="C208">
        <v>60569.949251605314</v>
      </c>
    </row>
    <row r="209" spans="1:3">
      <c r="A209">
        <v>172</v>
      </c>
      <c r="B209">
        <v>683108.20312484901</v>
      </c>
      <c r="C209">
        <v>-3376.6331248490606</v>
      </c>
    </row>
    <row r="210" spans="1:3">
      <c r="A210">
        <v>173</v>
      </c>
      <c r="B210">
        <v>731461.68473583797</v>
      </c>
      <c r="C210">
        <v>48882.495264162077</v>
      </c>
    </row>
    <row r="211" spans="1:3">
      <c r="A211">
        <v>174</v>
      </c>
      <c r="B211">
        <v>730344.94173951331</v>
      </c>
      <c r="C211">
        <v>-8980.8317395133199</v>
      </c>
    </row>
    <row r="212" spans="1:3">
      <c r="A212">
        <v>175</v>
      </c>
      <c r="B212">
        <v>728300.83101480792</v>
      </c>
      <c r="C212">
        <v>29837.458985192119</v>
      </c>
    </row>
    <row r="213" spans="1:3">
      <c r="A213">
        <v>176</v>
      </c>
      <c r="B213">
        <v>793352.42215016985</v>
      </c>
      <c r="C213">
        <v>10911.577849830152</v>
      </c>
    </row>
    <row r="214" spans="1:3">
      <c r="A214">
        <v>177</v>
      </c>
      <c r="B214">
        <v>896923.48027771956</v>
      </c>
      <c r="C214">
        <v>-9385.7302777195582</v>
      </c>
    </row>
    <row r="215" spans="1:3">
      <c r="A215">
        <v>178</v>
      </c>
      <c r="B215">
        <v>731570.59021064872</v>
      </c>
      <c r="C215">
        <v>52011.409789351281</v>
      </c>
    </row>
    <row r="216" spans="1:3">
      <c r="A216">
        <v>179</v>
      </c>
      <c r="B216">
        <v>790552.3534542484</v>
      </c>
      <c r="C216">
        <v>-8596.833454248379</v>
      </c>
    </row>
    <row r="217" spans="1:3">
      <c r="A217">
        <v>180</v>
      </c>
      <c r="B217">
        <v>841939.28630932269</v>
      </c>
      <c r="C217">
        <v>56091.753690677346</v>
      </c>
    </row>
    <row r="218" spans="1:3">
      <c r="A218">
        <v>181</v>
      </c>
      <c r="B218">
        <v>858407.61737035448</v>
      </c>
      <c r="C218">
        <v>-3066.3373703544494</v>
      </c>
    </row>
    <row r="219" spans="1:3">
      <c r="A219">
        <v>182</v>
      </c>
      <c r="B219">
        <v>711138.79911936028</v>
      </c>
      <c r="C219">
        <v>40255.080880639725</v>
      </c>
    </row>
    <row r="220" spans="1:3">
      <c r="A220">
        <v>183</v>
      </c>
      <c r="B220">
        <v>785116.05635918025</v>
      </c>
      <c r="C220">
        <v>-24038.976359180291</v>
      </c>
    </row>
    <row r="221" spans="1:3">
      <c r="A221">
        <v>184</v>
      </c>
      <c r="B221">
        <v>816265.35530665331</v>
      </c>
      <c r="C221">
        <v>3395.2346933466615</v>
      </c>
    </row>
    <row r="222" spans="1:3">
      <c r="A222">
        <v>185</v>
      </c>
      <c r="B222">
        <v>701934.82016372029</v>
      </c>
      <c r="C222">
        <v>-20079.260163720232</v>
      </c>
    </row>
    <row r="223" spans="1:3">
      <c r="A223">
        <v>186</v>
      </c>
      <c r="B223">
        <v>648925.33016285824</v>
      </c>
      <c r="C223">
        <v>29385.839837141801</v>
      </c>
    </row>
    <row r="224" spans="1:3">
      <c r="A224">
        <v>187</v>
      </c>
      <c r="B224">
        <v>724990.13795177452</v>
      </c>
      <c r="C224">
        <v>40916.812048225431</v>
      </c>
    </row>
    <row r="225" spans="1:3">
      <c r="A225">
        <v>188</v>
      </c>
      <c r="B225">
        <v>678347.02710363152</v>
      </c>
      <c r="C225">
        <v>34199.35289636848</v>
      </c>
    </row>
    <row r="226" spans="1:3">
      <c r="A226">
        <v>189</v>
      </c>
      <c r="B226">
        <v>572407.96692117187</v>
      </c>
      <c r="C226">
        <v>53585.863078828086</v>
      </c>
    </row>
    <row r="227" spans="1:3">
      <c r="A227">
        <v>190</v>
      </c>
      <c r="B227">
        <v>545699.6793626647</v>
      </c>
      <c r="C227">
        <v>5263.2506373353535</v>
      </c>
    </row>
    <row r="228" spans="1:3">
      <c r="A228">
        <v>191</v>
      </c>
      <c r="B228">
        <v>451863.24149887712</v>
      </c>
      <c r="C228">
        <v>-8587.6514988770941</v>
      </c>
    </row>
    <row r="229" spans="1:3">
      <c r="A229">
        <v>192</v>
      </c>
      <c r="B229">
        <v>613296.62025607703</v>
      </c>
      <c r="C229">
        <v>-59284.550256077084</v>
      </c>
    </row>
    <row r="230" spans="1:3">
      <c r="A230">
        <v>193</v>
      </c>
      <c r="B230">
        <v>684392.95800382772</v>
      </c>
      <c r="C230">
        <v>-40964.108003827743</v>
      </c>
    </row>
    <row r="231" spans="1:3">
      <c r="A231">
        <v>194</v>
      </c>
      <c r="B231">
        <v>611241.78406621946</v>
      </c>
      <c r="C231">
        <v>682.48593378055375</v>
      </c>
    </row>
    <row r="232" spans="1:3">
      <c r="A232">
        <v>195</v>
      </c>
      <c r="B232">
        <v>563433.06366783823</v>
      </c>
      <c r="C232">
        <v>-4011.0436678382102</v>
      </c>
    </row>
    <row r="233" spans="1:3">
      <c r="A233">
        <v>196</v>
      </c>
      <c r="B233">
        <v>482325.37705525249</v>
      </c>
      <c r="C233">
        <v>-32860.317055252497</v>
      </c>
    </row>
    <row r="234" spans="1:3">
      <c r="A234">
        <v>197</v>
      </c>
      <c r="B234">
        <v>635172.09895836958</v>
      </c>
      <c r="C234">
        <v>56275.331041630474</v>
      </c>
    </row>
    <row r="235" spans="1:3">
      <c r="A235">
        <v>198</v>
      </c>
      <c r="B235">
        <v>578827.93140588107</v>
      </c>
      <c r="C235">
        <v>-4761.3214058810845</v>
      </c>
    </row>
    <row r="236" spans="1:3">
      <c r="A236">
        <v>199</v>
      </c>
      <c r="B236">
        <v>612878.26991250331</v>
      </c>
      <c r="C236">
        <v>-33928.429912503343</v>
      </c>
    </row>
    <row r="237" spans="1:3">
      <c r="A237">
        <v>200</v>
      </c>
      <c r="B237">
        <v>662941.39938710537</v>
      </c>
      <c r="C237">
        <v>72845.240612894646</v>
      </c>
    </row>
    <row r="238" spans="1:3">
      <c r="A238">
        <v>201</v>
      </c>
      <c r="B238">
        <v>645822.47304536286</v>
      </c>
      <c r="C238">
        <v>-46917.573045362835</v>
      </c>
    </row>
    <row r="239" spans="1:3">
      <c r="A239">
        <v>202</v>
      </c>
      <c r="B239">
        <v>701436.2607133477</v>
      </c>
      <c r="C239">
        <v>86279.24928665231</v>
      </c>
    </row>
    <row r="240" spans="1:3">
      <c r="A240">
        <v>203</v>
      </c>
      <c r="B240">
        <v>661540.55615242815</v>
      </c>
      <c r="C240">
        <v>-54455.636152428109</v>
      </c>
    </row>
    <row r="241" spans="1:3">
      <c r="A241">
        <v>204</v>
      </c>
      <c r="B241">
        <v>694645.58347659605</v>
      </c>
      <c r="C241">
        <v>-43850.093476596056</v>
      </c>
    </row>
    <row r="242" spans="1:3">
      <c r="A242">
        <v>205</v>
      </c>
      <c r="B242">
        <v>858174.51099083945</v>
      </c>
      <c r="C242">
        <v>-33113.990990839433</v>
      </c>
    </row>
    <row r="243" spans="1:3">
      <c r="A243">
        <v>206</v>
      </c>
      <c r="B243">
        <v>748866.16335828754</v>
      </c>
      <c r="C243">
        <v>46598.306641712436</v>
      </c>
    </row>
    <row r="244" spans="1:3">
      <c r="A244">
        <v>207</v>
      </c>
      <c r="B244">
        <v>722775.36802012764</v>
      </c>
      <c r="C244">
        <v>-50906.778020127676</v>
      </c>
    </row>
    <row r="245" spans="1:3">
      <c r="A245">
        <v>208</v>
      </c>
      <c r="B245">
        <v>751757.33204325754</v>
      </c>
      <c r="C245">
        <v>-75839.702043257537</v>
      </c>
    </row>
    <row r="246" spans="1:3">
      <c r="A246">
        <v>209</v>
      </c>
      <c r="B246">
        <v>810322.81166186987</v>
      </c>
      <c r="C246">
        <v>123.71833813015837</v>
      </c>
    </row>
    <row r="247" spans="1:3">
      <c r="A247">
        <v>210</v>
      </c>
      <c r="B247">
        <v>740161.16372252454</v>
      </c>
      <c r="C247">
        <v>-48872.973722524592</v>
      </c>
    </row>
    <row r="248" spans="1:3">
      <c r="A248">
        <v>211</v>
      </c>
      <c r="B248">
        <v>980894.38507835974</v>
      </c>
      <c r="C248">
        <v>-34060.845078359707</v>
      </c>
    </row>
    <row r="249" spans="1:3">
      <c r="A249">
        <v>212</v>
      </c>
      <c r="B249">
        <v>733896.75816607301</v>
      </c>
      <c r="C249">
        <v>28066.471833926975</v>
      </c>
    </row>
    <row r="250" spans="1:3">
      <c r="A250">
        <v>213</v>
      </c>
      <c r="B250">
        <v>791035.29711596319</v>
      </c>
      <c r="C250">
        <v>21117.302884036792</v>
      </c>
    </row>
    <row r="251" spans="1:3">
      <c r="A251">
        <v>214</v>
      </c>
      <c r="B251">
        <v>764379.80740338133</v>
      </c>
      <c r="C251">
        <v>40595.692596618668</v>
      </c>
    </row>
    <row r="252" spans="1:3">
      <c r="A252">
        <v>215</v>
      </c>
      <c r="B252">
        <v>769133.73480150453</v>
      </c>
      <c r="C252">
        <v>-16812.014801504556</v>
      </c>
    </row>
    <row r="253" spans="1:3">
      <c r="A253">
        <v>216</v>
      </c>
      <c r="B253">
        <v>836309.72079351346</v>
      </c>
      <c r="C253">
        <v>598.51920648652595</v>
      </c>
    </row>
    <row r="254" spans="1:3">
      <c r="A254">
        <v>217</v>
      </c>
      <c r="B254">
        <v>648263.44097757642</v>
      </c>
      <c r="C254">
        <v>26025.659022423555</v>
      </c>
    </row>
    <row r="255" spans="1:3">
      <c r="A255">
        <v>218</v>
      </c>
      <c r="B255">
        <v>625955.77562024491</v>
      </c>
      <c r="C255">
        <v>-3063.3556202448672</v>
      </c>
    </row>
    <row r="256" spans="1:3">
      <c r="A256">
        <v>219</v>
      </c>
      <c r="B256">
        <v>646498.43108546163</v>
      </c>
      <c r="C256">
        <v>26850.128914538422</v>
      </c>
    </row>
    <row r="257" spans="1:3">
      <c r="A257">
        <v>220</v>
      </c>
      <c r="B257">
        <v>609085.42772951152</v>
      </c>
      <c r="C257">
        <v>-2807.1277295114705</v>
      </c>
    </row>
    <row r="258" spans="1:3">
      <c r="A258">
        <v>221</v>
      </c>
      <c r="B258">
        <v>701322.03643985128</v>
      </c>
      <c r="C258">
        <v>10897.77356014878</v>
      </c>
    </row>
    <row r="259" spans="1:3">
      <c r="A259">
        <v>222</v>
      </c>
      <c r="B259">
        <v>671513.42415148695</v>
      </c>
      <c r="C259">
        <v>1157.1158485130873</v>
      </c>
    </row>
    <row r="260" spans="1:3">
      <c r="A260">
        <v>223</v>
      </c>
      <c r="B260">
        <v>722948.30341899756</v>
      </c>
      <c r="C260">
        <v>9719.6165810024831</v>
      </c>
    </row>
    <row r="261" spans="1:3">
      <c r="A261">
        <v>224</v>
      </c>
      <c r="B261">
        <v>743614.52572360286</v>
      </c>
      <c r="C261">
        <v>-20083.125723602832</v>
      </c>
    </row>
    <row r="262" spans="1:3">
      <c r="A262">
        <v>225</v>
      </c>
      <c r="B262">
        <v>621810.41891896445</v>
      </c>
      <c r="C262">
        <v>19754.181081035524</v>
      </c>
    </row>
    <row r="263" spans="1:3">
      <c r="A263">
        <v>226</v>
      </c>
      <c r="B263">
        <v>519213.60768693936</v>
      </c>
      <c r="C263">
        <v>17331.882313060632</v>
      </c>
    </row>
    <row r="264" spans="1:3">
      <c r="A264">
        <v>227</v>
      </c>
      <c r="B264">
        <v>510042.07772924664</v>
      </c>
      <c r="C264">
        <v>17639.482270753419</v>
      </c>
    </row>
    <row r="265" spans="1:3">
      <c r="A265">
        <v>228</v>
      </c>
      <c r="B265">
        <v>494973.14480703225</v>
      </c>
      <c r="C265">
        <v>34625.795192967693</v>
      </c>
    </row>
    <row r="266" spans="1:3">
      <c r="A266">
        <v>229</v>
      </c>
      <c r="B266">
        <v>618639.60621824011</v>
      </c>
      <c r="C266">
        <v>-47676.296218240052</v>
      </c>
    </row>
    <row r="267" spans="1:3">
      <c r="A267">
        <v>230</v>
      </c>
      <c r="B267">
        <v>760117.40009096952</v>
      </c>
      <c r="C267">
        <v>110819.99990903051</v>
      </c>
    </row>
    <row r="268" spans="1:3">
      <c r="A268">
        <v>231</v>
      </c>
      <c r="B268">
        <v>625522.68223168934</v>
      </c>
      <c r="C268">
        <v>-28553.412231689319</v>
      </c>
    </row>
    <row r="269" spans="1:3">
      <c r="A269">
        <v>232</v>
      </c>
      <c r="B269">
        <v>603870.35145304818</v>
      </c>
      <c r="C269">
        <v>43642.4985469518</v>
      </c>
    </row>
    <row r="270" spans="1:3">
      <c r="A270">
        <v>233</v>
      </c>
      <c r="B270">
        <v>626089.96054388944</v>
      </c>
      <c r="C270">
        <v>31982.179456110578</v>
      </c>
    </row>
    <row r="271" spans="1:3">
      <c r="A271">
        <v>234</v>
      </c>
      <c r="B271">
        <v>657174.44504040899</v>
      </c>
      <c r="C271">
        <v>66130.664959590998</v>
      </c>
    </row>
    <row r="272" spans="1:3">
      <c r="A272">
        <v>235</v>
      </c>
      <c r="B272">
        <v>646469.79307633801</v>
      </c>
      <c r="C272">
        <v>-5803.2630763379857</v>
      </c>
    </row>
    <row r="273" spans="1:3">
      <c r="A273">
        <v>236</v>
      </c>
      <c r="B273">
        <v>671516.11335851892</v>
      </c>
      <c r="C273">
        <v>-886.63335851894226</v>
      </c>
    </row>
    <row r="274" spans="1:3">
      <c r="A274">
        <v>237</v>
      </c>
      <c r="B274">
        <v>808065.7357199511</v>
      </c>
      <c r="C274">
        <v>-86986.385719951126</v>
      </c>
    </row>
    <row r="275" spans="1:3">
      <c r="A275">
        <v>238</v>
      </c>
      <c r="B275">
        <v>795796.70190238662</v>
      </c>
      <c r="C275">
        <v>14558.318097613403</v>
      </c>
    </row>
    <row r="276" spans="1:3">
      <c r="A276">
        <v>239</v>
      </c>
      <c r="B276">
        <v>772667.64367271343</v>
      </c>
      <c r="C276">
        <v>-10748.393672713428</v>
      </c>
    </row>
    <row r="277" spans="1:3">
      <c r="A277">
        <v>240</v>
      </c>
      <c r="B277">
        <v>733912.89296962635</v>
      </c>
      <c r="C277">
        <v>3157.2870303737</v>
      </c>
    </row>
    <row r="278" spans="1:3">
      <c r="A278">
        <v>241</v>
      </c>
      <c r="B278">
        <v>754416.79769785143</v>
      </c>
      <c r="C278">
        <v>22576.132302148617</v>
      </c>
    </row>
    <row r="279" spans="1:3">
      <c r="A279">
        <v>242</v>
      </c>
      <c r="B279">
        <v>661923.92916668579</v>
      </c>
      <c r="C279">
        <v>14413.480833314243</v>
      </c>
    </row>
    <row r="280" spans="1:3">
      <c r="A280">
        <v>243</v>
      </c>
      <c r="B280">
        <v>843329.68162956217</v>
      </c>
      <c r="C280">
        <v>-15110.011629562126</v>
      </c>
    </row>
    <row r="281" spans="1:3">
      <c r="A281">
        <v>244</v>
      </c>
      <c r="B281">
        <v>783935.27422614687</v>
      </c>
      <c r="C281">
        <v>-20775.354226146825</v>
      </c>
    </row>
    <row r="282" spans="1:3">
      <c r="A282">
        <v>245</v>
      </c>
      <c r="B282">
        <v>781412.15191515046</v>
      </c>
      <c r="C282">
        <v>20589.52808484959</v>
      </c>
    </row>
    <row r="283" spans="1:3">
      <c r="A283">
        <v>246</v>
      </c>
      <c r="B283">
        <v>744183.91240631335</v>
      </c>
      <c r="C283">
        <v>6287.4275936866179</v>
      </c>
    </row>
    <row r="284" spans="1:3">
      <c r="A284">
        <v>247</v>
      </c>
      <c r="B284">
        <v>717079.94362006371</v>
      </c>
      <c r="C284">
        <v>-37849.083620063728</v>
      </c>
    </row>
    <row r="285" spans="1:3">
      <c r="A285">
        <v>248</v>
      </c>
      <c r="B285">
        <v>683071.14758140617</v>
      </c>
      <c r="C285">
        <v>-3182.4075814061798</v>
      </c>
    </row>
    <row r="286" spans="1:3">
      <c r="A286">
        <v>249</v>
      </c>
      <c r="B286">
        <v>582390.84619911306</v>
      </c>
      <c r="C286">
        <v>24392.823800886981</v>
      </c>
    </row>
    <row r="287" spans="1:3">
      <c r="A287">
        <v>250</v>
      </c>
      <c r="B287">
        <v>654358.6151987511</v>
      </c>
      <c r="C287">
        <v>-11607.195198751055</v>
      </c>
    </row>
    <row r="288" spans="1:3">
      <c r="A288">
        <v>251</v>
      </c>
      <c r="B288">
        <v>650421.67583728558</v>
      </c>
      <c r="C288">
        <v>-2467.8958372855559</v>
      </c>
    </row>
    <row r="289" spans="1:3">
      <c r="A289">
        <v>252</v>
      </c>
      <c r="B289">
        <v>711059.367718647</v>
      </c>
      <c r="C289">
        <v>18381.082281352952</v>
      </c>
    </row>
    <row r="290" spans="1:3">
      <c r="A290">
        <v>253</v>
      </c>
      <c r="B290">
        <v>762528.8147524856</v>
      </c>
      <c r="C290">
        <v>2420.1852475143969</v>
      </c>
    </row>
    <row r="291" spans="1:3">
      <c r="A291">
        <v>254</v>
      </c>
      <c r="B291">
        <v>723599.81278373615</v>
      </c>
      <c r="C291">
        <v>75447.127216263791</v>
      </c>
    </row>
    <row r="292" spans="1:3">
      <c r="A292">
        <v>255</v>
      </c>
      <c r="B292">
        <v>707319.57891955459</v>
      </c>
      <c r="C292">
        <v>12759.961080445442</v>
      </c>
    </row>
    <row r="293" spans="1:3">
      <c r="A293">
        <v>256</v>
      </c>
      <c r="B293">
        <v>676471.83986802911</v>
      </c>
      <c r="C293">
        <v>-64081.6998680291</v>
      </c>
    </row>
    <row r="294" spans="1:3">
      <c r="A294">
        <v>257</v>
      </c>
      <c r="B294">
        <v>795688.87299697951</v>
      </c>
      <c r="C294">
        <v>44419.247003020486</v>
      </c>
    </row>
    <row r="295" spans="1:3">
      <c r="A295">
        <v>258</v>
      </c>
      <c r="B295">
        <v>700682.04315388156</v>
      </c>
      <c r="C295">
        <v>-2793.9531538815936</v>
      </c>
    </row>
    <row r="296" spans="1:3">
      <c r="A296">
        <v>259</v>
      </c>
      <c r="B296">
        <v>756168.29293979774</v>
      </c>
      <c r="C296">
        <v>-10052.702939797775</v>
      </c>
    </row>
    <row r="297" spans="1:3">
      <c r="A297">
        <v>260</v>
      </c>
      <c r="B297">
        <v>750727.74037793907</v>
      </c>
      <c r="C297">
        <v>25382.579622060875</v>
      </c>
    </row>
    <row r="298" spans="1:3">
      <c r="A298">
        <v>261</v>
      </c>
      <c r="B298">
        <v>524127.29806134815</v>
      </c>
      <c r="C298">
        <v>4725.3219386518467</v>
      </c>
    </row>
    <row r="299" spans="1:3">
      <c r="A299">
        <v>262</v>
      </c>
      <c r="B299">
        <v>613163.50757963059</v>
      </c>
      <c r="C299">
        <v>-7412.177579630632</v>
      </c>
    </row>
    <row r="300" spans="1:3">
      <c r="A300">
        <v>263</v>
      </c>
      <c r="B300">
        <v>618894.15577985183</v>
      </c>
      <c r="C300">
        <v>58746.49422014819</v>
      </c>
    </row>
    <row r="301" spans="1:3">
      <c r="A301">
        <v>264</v>
      </c>
      <c r="B301">
        <v>594490.59259377467</v>
      </c>
      <c r="C301">
        <v>42122.637406225316</v>
      </c>
    </row>
    <row r="302" spans="1:3">
      <c r="A302">
        <v>265</v>
      </c>
      <c r="B302">
        <v>717802.62968097476</v>
      </c>
      <c r="C302">
        <v>-8817.4396809748141</v>
      </c>
    </row>
    <row r="303" spans="1:3">
      <c r="A303">
        <v>266</v>
      </c>
      <c r="B303">
        <v>738616.05739685311</v>
      </c>
      <c r="C303">
        <v>29176.882603146834</v>
      </c>
    </row>
    <row r="304" spans="1:3">
      <c r="A304">
        <v>267</v>
      </c>
      <c r="B304">
        <v>723870.84617162438</v>
      </c>
      <c r="C304">
        <v>21709.663828375633</v>
      </c>
    </row>
    <row r="305" spans="1:3">
      <c r="A305">
        <v>268</v>
      </c>
      <c r="B305">
        <v>720738.1832024398</v>
      </c>
      <c r="C305">
        <v>41590.126797560253</v>
      </c>
    </row>
    <row r="306" spans="1:3">
      <c r="A306">
        <v>269</v>
      </c>
      <c r="B306">
        <v>738831.69415109535</v>
      </c>
      <c r="C306">
        <v>-78197.704151095357</v>
      </c>
    </row>
    <row r="307" spans="1:3">
      <c r="A307">
        <v>270</v>
      </c>
      <c r="B307">
        <v>702688.66930283327</v>
      </c>
      <c r="C307">
        <v>36685.890697166789</v>
      </c>
    </row>
    <row r="308" spans="1:3">
      <c r="A308">
        <v>271</v>
      </c>
      <c r="B308">
        <v>812027.12227560696</v>
      </c>
      <c r="C308">
        <v>-12270.662275606999</v>
      </c>
    </row>
    <row r="309" spans="1:3">
      <c r="A309">
        <v>272</v>
      </c>
      <c r="B309">
        <v>665019.1810223395</v>
      </c>
      <c r="C309">
        <v>-71676.1810223395</v>
      </c>
    </row>
    <row r="310" spans="1:3">
      <c r="A310">
        <v>273</v>
      </c>
      <c r="B310">
        <v>643469.57433671842</v>
      </c>
      <c r="C310">
        <v>1570.3956632815534</v>
      </c>
    </row>
    <row r="311" spans="1:3">
      <c r="A311">
        <v>274</v>
      </c>
      <c r="B311">
        <v>547215.52405018022</v>
      </c>
      <c r="C311">
        <v>14381.80594981974</v>
      </c>
    </row>
    <row r="312" spans="1:3">
      <c r="A312">
        <v>275</v>
      </c>
      <c r="B312">
        <v>664064.6361149674</v>
      </c>
      <c r="C312">
        <v>-28226.896114967414</v>
      </c>
    </row>
    <row r="313" spans="1:3">
      <c r="A313">
        <v>276</v>
      </c>
      <c r="B313">
        <v>612929.93701293669</v>
      </c>
      <c r="C313">
        <v>73807.932987063308</v>
      </c>
    </row>
    <row r="314" spans="1:3">
      <c r="A314">
        <v>277</v>
      </c>
      <c r="B314">
        <v>688988.0932297972</v>
      </c>
      <c r="C314">
        <v>-15911.753229797236</v>
      </c>
    </row>
    <row r="315" spans="1:3">
      <c r="A315">
        <v>278</v>
      </c>
      <c r="B315">
        <v>702739.37544234016</v>
      </c>
      <c r="C315">
        <v>35809.044557659887</v>
      </c>
    </row>
    <row r="316" spans="1:3">
      <c r="A316">
        <v>279</v>
      </c>
      <c r="B316">
        <v>739512.99391318904</v>
      </c>
      <c r="C316">
        <v>17106.776086810976</v>
      </c>
    </row>
    <row r="317" spans="1:3">
      <c r="A317">
        <v>280</v>
      </c>
      <c r="B317">
        <v>777385.05182639929</v>
      </c>
      <c r="C317">
        <v>-16262.631826399243</v>
      </c>
    </row>
    <row r="318" spans="1:3">
      <c r="A318">
        <v>281</v>
      </c>
      <c r="B318">
        <v>593492.64275420608</v>
      </c>
      <c r="C318">
        <v>-68593.072754206136</v>
      </c>
    </row>
    <row r="319" spans="1:3">
      <c r="A319">
        <v>282</v>
      </c>
      <c r="B319">
        <v>603333.90837342571</v>
      </c>
      <c r="C319">
        <v>-47776.138373425696</v>
      </c>
    </row>
    <row r="320" spans="1:3">
      <c r="A320">
        <v>283</v>
      </c>
      <c r="B320">
        <v>709372.19501123927</v>
      </c>
      <c r="C320">
        <v>4711.4849887607852</v>
      </c>
    </row>
    <row r="321" spans="1:3">
      <c r="A321">
        <v>284</v>
      </c>
      <c r="B321">
        <v>500169.77210319228</v>
      </c>
      <c r="C321">
        <v>-2729.9521031922777</v>
      </c>
    </row>
    <row r="322" spans="1:3">
      <c r="A322">
        <v>285</v>
      </c>
      <c r="B322">
        <v>672023.99723515008</v>
      </c>
      <c r="C322">
        <v>-35248.337235150044</v>
      </c>
    </row>
    <row r="323" spans="1:3">
      <c r="A323">
        <v>286</v>
      </c>
      <c r="B323">
        <v>640155.55957422103</v>
      </c>
      <c r="C323">
        <v>-7146.0295742210001</v>
      </c>
    </row>
    <row r="324" spans="1:3">
      <c r="A324">
        <v>287</v>
      </c>
      <c r="B324">
        <v>627350.96471311967</v>
      </c>
      <c r="C324">
        <v>-17401.964713119669</v>
      </c>
    </row>
    <row r="325" spans="1:3">
      <c r="A325">
        <v>288</v>
      </c>
      <c r="B325">
        <v>574471.1016359122</v>
      </c>
      <c r="C325">
        <v>-26367.401635912247</v>
      </c>
    </row>
    <row r="326" spans="1:3">
      <c r="A326">
        <v>289</v>
      </c>
      <c r="B326">
        <v>685593.5582416089</v>
      </c>
      <c r="C326">
        <v>43830.86175839114</v>
      </c>
    </row>
    <row r="327" spans="1:3">
      <c r="A327">
        <v>290</v>
      </c>
      <c r="B327">
        <v>724761.27205005626</v>
      </c>
      <c r="C327">
        <v>-28499.782050056267</v>
      </c>
    </row>
    <row r="328" spans="1:3">
      <c r="A328">
        <v>291</v>
      </c>
      <c r="B328">
        <v>721378.28447029332</v>
      </c>
      <c r="C328">
        <v>91938.425529706641</v>
      </c>
    </row>
    <row r="329" spans="1:3">
      <c r="A329">
        <v>292</v>
      </c>
      <c r="B329">
        <v>683471.93352116691</v>
      </c>
      <c r="C329">
        <v>18596.986478833132</v>
      </c>
    </row>
    <row r="330" spans="1:3">
      <c r="A330">
        <v>293</v>
      </c>
      <c r="B330">
        <v>580323.04999365308</v>
      </c>
      <c r="C330">
        <v>-34099.34999365313</v>
      </c>
    </row>
    <row r="331" spans="1:3">
      <c r="A331">
        <v>294</v>
      </c>
      <c r="B331">
        <v>545636.47926884913</v>
      </c>
      <c r="C331">
        <v>-12515.21926884912</v>
      </c>
    </row>
    <row r="332" spans="1:3">
      <c r="A332">
        <v>295</v>
      </c>
      <c r="B332">
        <v>507246.49979337654</v>
      </c>
      <c r="C332">
        <v>-8276.1797933765338</v>
      </c>
    </row>
    <row r="333" spans="1:3">
      <c r="A333">
        <v>296</v>
      </c>
      <c r="B333">
        <v>495129.20814345195</v>
      </c>
      <c r="C333">
        <v>-7390.9481434519403</v>
      </c>
    </row>
    <row r="334" spans="1:3">
      <c r="A334">
        <v>297</v>
      </c>
      <c r="B334">
        <v>661809.30588336685</v>
      </c>
      <c r="C334">
        <v>6650.0641166331479</v>
      </c>
    </row>
    <row r="335" spans="1:3">
      <c r="A335">
        <v>298</v>
      </c>
      <c r="B335">
        <v>691712.1464796022</v>
      </c>
      <c r="C335">
        <v>71450.303520397749</v>
      </c>
    </row>
    <row r="336" spans="1:3">
      <c r="A336">
        <v>299</v>
      </c>
      <c r="B336">
        <v>617728.71051988727</v>
      </c>
      <c r="C336">
        <v>-18711.380519887316</v>
      </c>
    </row>
    <row r="337" spans="1:3">
      <c r="A337">
        <v>300</v>
      </c>
      <c r="B337">
        <v>434963.8698691618</v>
      </c>
      <c r="C337">
        <v>-33381.289869161788</v>
      </c>
    </row>
    <row r="338" spans="1:3">
      <c r="A338">
        <v>301</v>
      </c>
      <c r="B338">
        <v>749585.23012253456</v>
      </c>
      <c r="C338">
        <v>-45772.240122534567</v>
      </c>
    </row>
    <row r="339" spans="1:3">
      <c r="A339">
        <v>302</v>
      </c>
      <c r="B339">
        <v>736352.65270838665</v>
      </c>
      <c r="C339">
        <v>-12005.922708386672</v>
      </c>
    </row>
    <row r="340" spans="1:3">
      <c r="A340">
        <v>303</v>
      </c>
      <c r="B340">
        <v>761519.46189243346</v>
      </c>
      <c r="C340">
        <v>-30629.451892433455</v>
      </c>
    </row>
    <row r="341" spans="1:3">
      <c r="A341">
        <v>304</v>
      </c>
      <c r="B341">
        <v>729615.38361783279</v>
      </c>
      <c r="C341">
        <v>50965.566382167162</v>
      </c>
    </row>
    <row r="342" spans="1:3">
      <c r="A342">
        <v>305</v>
      </c>
      <c r="B342">
        <v>683427.91609432397</v>
      </c>
      <c r="C342">
        <v>44529.563905676012</v>
      </c>
    </row>
    <row r="343" spans="1:3">
      <c r="A343">
        <v>306</v>
      </c>
      <c r="B343">
        <v>590860.3220243766</v>
      </c>
      <c r="C343">
        <v>-52484.322024376597</v>
      </c>
    </row>
    <row r="344" spans="1:3">
      <c r="A344">
        <v>307</v>
      </c>
      <c r="B344">
        <v>625606.90972311108</v>
      </c>
      <c r="C344">
        <v>39735.580276888912</v>
      </c>
    </row>
    <row r="345" spans="1:3">
      <c r="A345">
        <v>308</v>
      </c>
      <c r="B345">
        <v>697897.91239883052</v>
      </c>
      <c r="C345">
        <v>-46733.732398830471</v>
      </c>
    </row>
    <row r="346" spans="1:3">
      <c r="A346">
        <v>309</v>
      </c>
      <c r="B346">
        <v>642234.85573585075</v>
      </c>
      <c r="C346">
        <v>-13696.555735850707</v>
      </c>
    </row>
    <row r="347" spans="1:3">
      <c r="A347">
        <v>310</v>
      </c>
      <c r="B347">
        <v>592586.26076922298</v>
      </c>
      <c r="C347">
        <v>-56061.420769223012</v>
      </c>
    </row>
    <row r="348" spans="1:3">
      <c r="A348">
        <v>311</v>
      </c>
      <c r="B348">
        <v>613370.6376193309</v>
      </c>
      <c r="C348">
        <v>8306.6623806691496</v>
      </c>
    </row>
    <row r="349" spans="1:3">
      <c r="A349">
        <v>312</v>
      </c>
      <c r="B349">
        <v>773991.91004115564</v>
      </c>
      <c r="C349">
        <v>-2862.8400411556941</v>
      </c>
    </row>
    <row r="350" spans="1:3">
      <c r="A350">
        <v>313</v>
      </c>
      <c r="B350">
        <v>674511.16530916514</v>
      </c>
      <c r="C350">
        <v>27541.304690834833</v>
      </c>
    </row>
    <row r="351" spans="1:3">
      <c r="A351">
        <v>314</v>
      </c>
      <c r="B351">
        <v>704778.09029561584</v>
      </c>
      <c r="C351">
        <v>-16409.630295615876</v>
      </c>
    </row>
    <row r="352" spans="1:3">
      <c r="A352">
        <v>315</v>
      </c>
      <c r="B352">
        <v>686151.87646364025</v>
      </c>
      <c r="C352">
        <v>26223.89353635977</v>
      </c>
    </row>
    <row r="353" spans="1:3">
      <c r="A353">
        <v>316</v>
      </c>
      <c r="B353">
        <v>797340.73603419762</v>
      </c>
      <c r="C353">
        <v>47369.933965802426</v>
      </c>
    </row>
    <row r="354" spans="1:3">
      <c r="A354">
        <v>317</v>
      </c>
      <c r="B354">
        <v>679929.61733004299</v>
      </c>
      <c r="C354">
        <v>-59665.417330043041</v>
      </c>
    </row>
    <row r="355" spans="1:3">
      <c r="A355">
        <v>318</v>
      </c>
      <c r="B355">
        <v>520559.26738271432</v>
      </c>
      <c r="C355">
        <v>16286.152617285727</v>
      </c>
    </row>
    <row r="356" spans="1:3">
      <c r="A356">
        <v>319</v>
      </c>
      <c r="B356">
        <v>726187.18580447207</v>
      </c>
      <c r="C356">
        <v>589.03419552790001</v>
      </c>
    </row>
    <row r="357" spans="1:3" ht="15" thickBot="1">
      <c r="A357" s="10">
        <v>320</v>
      </c>
      <c r="B357" s="10">
        <v>557781.58846692601</v>
      </c>
      <c r="C357" s="10">
        <v>1879.2515330739552</v>
      </c>
    </row>
  </sheetData>
  <sortState xmlns:xlrd2="http://schemas.microsoft.com/office/spreadsheetml/2017/richdata2" ref="A38:C357">
    <sortCondition ref="A37:A35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A4D2-BA6E-4668-88DD-42A90A39C24F}">
  <dimension ref="A1:C20"/>
  <sheetViews>
    <sheetView tabSelected="1" workbookViewId="0">
      <selection activeCell="C22" sqref="C22"/>
    </sheetView>
  </sheetViews>
  <sheetFormatPr defaultRowHeight="14.5"/>
  <cols>
    <col min="1" max="1" width="11.7265625" customWidth="1"/>
    <col min="2" max="2" width="20.453125" customWidth="1"/>
    <col min="3" max="3" width="12.6328125" customWidth="1"/>
  </cols>
  <sheetData>
    <row r="1" spans="1:3" ht="17">
      <c r="A1" s="17" t="s">
        <v>169</v>
      </c>
    </row>
    <row r="3" spans="1:3" ht="15" thickBot="1">
      <c r="A3" s="18" t="s">
        <v>170</v>
      </c>
    </row>
    <row r="4" spans="1:3">
      <c r="A4" s="11" t="s">
        <v>146</v>
      </c>
      <c r="B4" s="11" t="s">
        <v>155</v>
      </c>
      <c r="C4" s="11" t="s">
        <v>148</v>
      </c>
    </row>
    <row r="5" spans="1:3">
      <c r="A5">
        <v>320</v>
      </c>
      <c r="B5">
        <v>557781.58846692601</v>
      </c>
      <c r="C5">
        <v>1879.2515330739552</v>
      </c>
    </row>
    <row r="6" spans="1:3">
      <c r="A6">
        <v>319</v>
      </c>
      <c r="B6">
        <v>726187.18580447207</v>
      </c>
      <c r="C6">
        <v>589.03419552790001</v>
      </c>
    </row>
    <row r="7" spans="1:3">
      <c r="A7">
        <v>318</v>
      </c>
      <c r="B7">
        <v>520559.26738271432</v>
      </c>
      <c r="C7">
        <v>16286.152617285727</v>
      </c>
    </row>
    <row r="8" spans="1:3">
      <c r="A8">
        <v>317</v>
      </c>
      <c r="B8">
        <v>679929.61733004299</v>
      </c>
      <c r="C8">
        <v>-59665.417330043041</v>
      </c>
    </row>
    <row r="9" spans="1:3">
      <c r="A9">
        <v>316</v>
      </c>
      <c r="B9">
        <v>797340.73603419762</v>
      </c>
      <c r="C9">
        <v>47369.933965802426</v>
      </c>
    </row>
    <row r="10" spans="1:3">
      <c r="A10">
        <v>315</v>
      </c>
      <c r="B10">
        <v>686151.87646364025</v>
      </c>
      <c r="C10">
        <v>26223.89353635977</v>
      </c>
    </row>
    <row r="13" spans="1:3" ht="15" thickBot="1">
      <c r="A13" s="18" t="s">
        <v>171</v>
      </c>
    </row>
    <row r="14" spans="1:3">
      <c r="A14" s="11" t="s">
        <v>146</v>
      </c>
      <c r="B14" s="11" t="s">
        <v>155</v>
      </c>
      <c r="C14" s="11" t="s">
        <v>148</v>
      </c>
    </row>
    <row r="15" spans="1:3">
      <c r="A15">
        <v>1</v>
      </c>
      <c r="B15">
        <v>677155.88400218752</v>
      </c>
      <c r="C15">
        <v>-18323.264002187527</v>
      </c>
    </row>
    <row r="16" spans="1:3">
      <c r="A16">
        <v>2</v>
      </c>
      <c r="B16">
        <v>679032.88241478871</v>
      </c>
      <c r="C16">
        <v>-44596.882414788706</v>
      </c>
    </row>
    <row r="17" spans="1:3">
      <c r="A17">
        <v>3</v>
      </c>
      <c r="B17">
        <v>696319.09381721797</v>
      </c>
      <c r="C17">
        <v>-17597.033817217918</v>
      </c>
    </row>
    <row r="18" spans="1:3">
      <c r="A18">
        <v>4</v>
      </c>
      <c r="B18">
        <v>734601.41019357741</v>
      </c>
      <c r="C18">
        <v>-75681.110193577362</v>
      </c>
    </row>
    <row r="19" spans="1:3">
      <c r="A19">
        <v>5</v>
      </c>
      <c r="B19">
        <v>788326.97531157755</v>
      </c>
      <c r="C19">
        <v>-46985.535311577609</v>
      </c>
    </row>
    <row r="20" spans="1:3">
      <c r="A20">
        <v>6</v>
      </c>
      <c r="B20">
        <v>774190.18997931294</v>
      </c>
      <c r="C20">
        <v>-12354.849979312974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E6DA-68CC-435A-A135-34049D15ECD7}">
  <dimension ref="A1:C18"/>
  <sheetViews>
    <sheetView zoomScale="86" workbookViewId="0">
      <selection activeCell="F21" sqref="F21"/>
    </sheetView>
  </sheetViews>
  <sheetFormatPr defaultRowHeight="14.5"/>
  <cols>
    <col min="1" max="1" width="16" customWidth="1"/>
    <col min="2" max="2" width="14.90625" customWidth="1"/>
    <col min="3" max="3" width="15.453125" customWidth="1"/>
  </cols>
  <sheetData>
    <row r="1" spans="1:3" ht="29">
      <c r="A1" s="4" t="s">
        <v>157</v>
      </c>
      <c r="B1" s="13" t="s">
        <v>158</v>
      </c>
      <c r="C1" s="4" t="s">
        <v>159</v>
      </c>
    </row>
    <row r="2" spans="1:3">
      <c r="A2" s="5" t="s">
        <v>123</v>
      </c>
      <c r="B2" s="3">
        <v>0.85919999999999996</v>
      </c>
      <c r="C2" s="3">
        <v>0.92569999999999997</v>
      </c>
    </row>
    <row r="3" spans="1:3">
      <c r="A3" s="5" t="s">
        <v>124</v>
      </c>
      <c r="B3" s="3">
        <v>0.73829999999999996</v>
      </c>
      <c r="C3" s="3">
        <v>0.8569</v>
      </c>
    </row>
    <row r="4" spans="1:3">
      <c r="A4" s="5" t="s">
        <v>125</v>
      </c>
      <c r="B4" s="3">
        <v>0.73750000000000004</v>
      </c>
      <c r="C4" s="3">
        <v>0.85029999999999994</v>
      </c>
    </row>
    <row r="5" spans="1:3">
      <c r="A5" s="5" t="s">
        <v>126</v>
      </c>
      <c r="B5" s="14">
        <v>53249.4</v>
      </c>
      <c r="C5" s="14">
        <v>40208.959999999999</v>
      </c>
    </row>
    <row r="6" spans="1:3">
      <c r="A6" s="5" t="s">
        <v>127</v>
      </c>
      <c r="B6" s="3">
        <v>319</v>
      </c>
      <c r="C6" s="3">
        <v>319</v>
      </c>
    </row>
    <row r="7" spans="1:3">
      <c r="A7" s="5" t="s">
        <v>160</v>
      </c>
      <c r="B7" s="3">
        <v>894.32</v>
      </c>
      <c r="C7" s="3">
        <v>130.03</v>
      </c>
    </row>
    <row r="8" spans="1:3">
      <c r="A8" s="5" t="s">
        <v>137</v>
      </c>
      <c r="B8" s="15">
        <v>2.7399999999999998E-94</v>
      </c>
      <c r="C8" s="15">
        <v>3.54E-119</v>
      </c>
    </row>
    <row r="11" spans="1:3" ht="43.5">
      <c r="A11" s="16" t="s">
        <v>161</v>
      </c>
    </row>
    <row r="12" spans="1:3">
      <c r="A12" t="s">
        <v>162</v>
      </c>
    </row>
    <row r="13" spans="1:3">
      <c r="A13" t="s">
        <v>163</v>
      </c>
    </row>
    <row r="14" spans="1:3">
      <c r="A14" t="s">
        <v>164</v>
      </c>
    </row>
    <row r="15" spans="1:3">
      <c r="A15" t="s">
        <v>165</v>
      </c>
    </row>
    <row r="16" spans="1:3">
      <c r="A16" t="s">
        <v>166</v>
      </c>
    </row>
    <row r="17" spans="1:1">
      <c r="A17" t="s">
        <v>167</v>
      </c>
    </row>
    <row r="18" spans="1:1">
      <c r="A1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Quality Check</vt:lpstr>
      <vt:lpstr>regression output</vt:lpstr>
      <vt:lpstr>store_performance</vt:lpstr>
      <vt:lpstr>multiple_regression_data</vt:lpstr>
      <vt:lpstr>multiple_regression_output</vt:lpstr>
      <vt:lpstr>residual_analysis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2026-06-26T08:32:32Z</dcterms:created>
  <dcterms:modified xsi:type="dcterms:W3CDTF">2026-06-26T19:21:03Z</dcterms:modified>
</cp:coreProperties>
</file>